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superkufu/Desktop/github/hk_edu/"/>
    </mc:Choice>
  </mc:AlternateContent>
  <xr:revisionPtr revIDLastSave="0" documentId="8_{5B22968F-8D80-944E-BBF2-211672B987C3}" xr6:coauthVersionLast="47" xr6:coauthVersionMax="47" xr10:uidLastSave="{00000000-0000-0000-0000-000000000000}"/>
  <bookViews>
    <workbookView xWindow="680" yWindow="660" windowWidth="28040" windowHeight="17160" xr2:uid="{1E167384-E8D3-E443-9B61-99011F9729C3}"/>
  </bookViews>
  <sheets>
    <sheet name="filtered_public" sheetId="1" r:id="rId1"/>
  </sheets>
  <definedNames>
    <definedName name="_xlnm._FilterDatabase" localSheetId="0" hidden="1">filtered_public!$A$1:$BI$33</definedName>
  </definedNames>
  <calcPr calcId="0"/>
</workbook>
</file>

<file path=xl/calcChain.xml><?xml version="1.0" encoding="utf-8"?>
<calcChain xmlns="http://schemas.openxmlformats.org/spreadsheetml/2006/main">
  <c r="G3" i="1" l="1"/>
  <c r="G7" i="1"/>
  <c r="G2" i="1"/>
  <c r="G6" i="1"/>
  <c r="G9" i="1"/>
  <c r="G11" i="1"/>
  <c r="G8" i="1"/>
  <c r="G5" i="1"/>
  <c r="G10" i="1"/>
  <c r="G14" i="1"/>
  <c r="G12" i="1"/>
  <c r="G13" i="1"/>
  <c r="G16" i="1"/>
  <c r="G15" i="1"/>
  <c r="G18" i="1"/>
  <c r="G17" i="1"/>
  <c r="G19" i="1"/>
  <c r="G20" i="1"/>
  <c r="G22" i="1"/>
  <c r="G21" i="1"/>
  <c r="G23" i="1"/>
  <c r="G24" i="1"/>
  <c r="G26" i="1"/>
  <c r="G27" i="1"/>
  <c r="G29" i="1"/>
  <c r="G25" i="1"/>
  <c r="G28" i="1"/>
  <c r="G30" i="1"/>
  <c r="G31" i="1"/>
  <c r="G32" i="1"/>
  <c r="G33" i="1"/>
  <c r="G4" i="1"/>
</calcChain>
</file>

<file path=xl/sharedStrings.xml><?xml version="1.0" encoding="utf-8"?>
<sst xmlns="http://schemas.openxmlformats.org/spreadsheetml/2006/main" count="739" uniqueCount="237">
  <si>
    <t>district</t>
  </si>
  <si>
    <t>school_name</t>
  </si>
  <si>
    <t>poa_school_net</t>
  </si>
  <si>
    <t>master_education_likelihood</t>
  </si>
  <si>
    <t>bachelor_education_likelihood</t>
  </si>
  <si>
    <t>teacher_ratio</t>
  </si>
  <si>
    <t>school_website</t>
  </si>
  <si>
    <t>school_type_1</t>
  </si>
  <si>
    <t>school_type_2</t>
  </si>
  <si>
    <t>student_gender</t>
  </si>
  <si>
    <t>religion</t>
  </si>
  <si>
    <t>school_size</t>
  </si>
  <si>
    <t>medium_of_instruction</t>
  </si>
  <si>
    <t>through_train_sec_school</t>
  </si>
  <si>
    <t>feeder_sec_school</t>
  </si>
  <si>
    <t>nominated_sec_school</t>
  </si>
  <si>
    <t>school_bus</t>
  </si>
  <si>
    <t>nanny_van</t>
  </si>
  <si>
    <t>fac_no_of_classroom</t>
  </si>
  <si>
    <t>fac_no_of_school_hall</t>
  </si>
  <si>
    <t>fac_no_of_playground</t>
  </si>
  <si>
    <t>fac_no_of_library</t>
  </si>
  <si>
    <t>fac_special_rooms</t>
  </si>
  <si>
    <t>fac_support_for_specialedu</t>
  </si>
  <si>
    <t>previous_year_tsi_no_of_approved_teaching_posts</t>
  </si>
  <si>
    <t>previous_year_tsi_total_no_of_teachers</t>
  </si>
  <si>
    <t>previous_year_tsi_percent_of_received_teacher_training</t>
  </si>
  <si>
    <t>previous_year_tsi_percent_of_bacherlor</t>
  </si>
  <si>
    <t>previous_year_tsi_percent_of_master_doctorate_or_above</t>
  </si>
  <si>
    <t>previous_year_tsi_percent_of_special_edu_training</t>
  </si>
  <si>
    <t>previous_year_tsi_percent_of_exp_0_4</t>
  </si>
  <si>
    <t>previous_year_tsi_percent_of_exp_5_9</t>
  </si>
  <si>
    <t>previous_year_tsi_percent_of_exp_10_or_above</t>
  </si>
  <si>
    <t>previous_year_no_of_class_p1</t>
  </si>
  <si>
    <t>previous_year_no_of_class_p2</t>
  </si>
  <si>
    <t>previous_year_no_of_class_p3</t>
  </si>
  <si>
    <t>previous_year_no_of_class_p4</t>
  </si>
  <si>
    <t>previous_year_no_of_class_p5</t>
  </si>
  <si>
    <t>previous_year_no_of_class_p6</t>
  </si>
  <si>
    <t>previous_year_no_of_class_total</t>
  </si>
  <si>
    <t>current_year_no_of_class_p1</t>
  </si>
  <si>
    <t>current_year_no_of_class_p2</t>
  </si>
  <si>
    <t>current_year_no_of_class_p3</t>
  </si>
  <si>
    <t>current_year_no_of_class_p4</t>
  </si>
  <si>
    <t>current_year_no_of_class_p5</t>
  </si>
  <si>
    <t>current_year_no_of_class_p6</t>
  </si>
  <si>
    <t>current_year_no_of_class_total</t>
  </si>
  <si>
    <t>no_of_test_per_year_P1</t>
  </si>
  <si>
    <t>no_of_exam_per_year_P1</t>
  </si>
  <si>
    <t>replace_test_exam_P1</t>
  </si>
  <si>
    <t>no_of_test_per_year_P2-P6</t>
  </si>
  <si>
    <t>no_of_exam_P2-P6</t>
  </si>
  <si>
    <t>upload_school_assessment_policy_to_school_web</t>
  </si>
  <si>
    <t>upload_school_assignment_policy_to_school_web</t>
  </si>
  <si>
    <t>school_starts_at</t>
  </si>
  <si>
    <t>school_starts_at_AMPM</t>
  </si>
  <si>
    <t>school_ends_at</t>
  </si>
  <si>
    <t>school_ends_at_AMPM</t>
  </si>
  <si>
    <t>school_major_concerns</t>
  </si>
  <si>
    <t>Central &amp; Western</t>
  </si>
  <si>
    <t>Catholic Mission School</t>
  </si>
  <si>
    <t>http://www.cms.edu.hk</t>
  </si>
  <si>
    <t>Aided</t>
  </si>
  <si>
    <t>Whole Day</t>
  </si>
  <si>
    <t>Co-ed</t>
  </si>
  <si>
    <t>Catholicism</t>
  </si>
  <si>
    <t>English</t>
  </si>
  <si>
    <t>-</t>
  </si>
  <si>
    <t>Yes</t>
  </si>
  <si>
    <t>6 (Chinese Room, English Room, Music Room, Guidance Room, Angel Library, Makerspace).</t>
  </si>
  <si>
    <t>A lift.</t>
  </si>
  <si>
    <t>AM</t>
  </si>
  <si>
    <t>PM</t>
  </si>
  <si>
    <t>Integrate multi-cultures; broaden the global vision and establish an international campus; nurture the global talents.</t>
  </si>
  <si>
    <t>King's College Old Boys' Association Primary School No. 2</t>
  </si>
  <si>
    <t>http://www.kcobaps2.edu.hk</t>
  </si>
  <si>
    <t>Not Applicable</t>
  </si>
  <si>
    <t>Chinese</t>
  </si>
  <si>
    <t>Library, Visual Art Room, Music Room, Computer Room, STEM Lab, English Activity Room, Science Room , Counselling Room and Conference Room.</t>
  </si>
  <si>
    <t>1. Reinforce values education to enhance whole-person development of students.&lt;br&gt;2. Promote positive education to enable students to live their lives to the fullest.&lt;br&gt;3. Deepen self-directed learning for the implementation of gifted education.</t>
  </si>
  <si>
    <t>Central &amp; Western District St. Anthony's School</t>
  </si>
  <si>
    <t>http://www.cwsa.edu.hk</t>
  </si>
  <si>
    <t xml:space="preserve">6 Special Rooms (STEM Lab., Visual Art Room, Music Room, Activity Room, Religious Room and English Room). </t>
  </si>
  <si>
    <t>Ramp.</t>
  </si>
  <si>
    <t>1. Promote teachers' professional development to build a progressive and adaptive teaching team capable of meeting new challenges.&lt;br&gt;2. Foster students' curiosity and learning abilities, empowering them to become knowledge explorers of the new generation.&lt;br&gt;3. Strengthen home-school collaboration to cultivate healthy lifestyles among students and jointly build a wellness-focused school environment.</t>
  </si>
  <si>
    <t>Li Sing Primary School</t>
  </si>
  <si>
    <t>http://www.lsps.edu.hk</t>
  </si>
  <si>
    <t>Gov't</t>
  </si>
  <si>
    <t>King's College, Belilios Public School, Clementi Secondary School, &lt;br&gt;Tang Shiu Kin Victoria Secondary School</t>
  </si>
  <si>
    <t>Computer room/Stream Room, library, art room, music room, activity room, English room, counselling room, small class teaching rooms, conference room.</t>
  </si>
  <si>
    <t>Accessible lift and Accessible toilet.</t>
  </si>
  <si>
    <t>1. Foster students' positive values and construct physically and mentally healthy lifestyles.&lt;br&gt;2. Continuously optimize the curriculum, employ diversified strategies to enhance students' learning motivation, and promote lifelong learning capabilities.</t>
  </si>
  <si>
    <t>Sacred Heart Canossian School</t>
  </si>
  <si>
    <t>http://www.shcs.edu.hk</t>
  </si>
  <si>
    <t>Girls</t>
  </si>
  <si>
    <t>Chinese(incl.: Putonghua) and English</t>
  </si>
  <si>
    <t>Sacred Heart Canossian College</t>
  </si>
  <si>
    <t>10 (Visual Arts Room, 2 Music Rooms, Computer Room, Innolab, Student Guidance Room, English Resource Room, Student Sick Room, &lt;br&gt;2 Parlours)</t>
  </si>
  <si>
    <t>1. To promote "Whole School Health Programme".&lt;br&gt;2. To construct highly effective lessons.</t>
  </si>
  <si>
    <t>St. Stephen's Girls' Primary School</t>
  </si>
  <si>
    <t>http://www.ssgps.edu.hk</t>
  </si>
  <si>
    <t>Protestantism / Christianity</t>
  </si>
  <si>
    <t>St. Stephen's Girls' College</t>
  </si>
  <si>
    <t>STEM Room, Student Activity Centre, Visual Arts Room, English Room, Putonghua Room, Music Room, Multi-purpose Room, Computer Room, etc.</t>
  </si>
  <si>
    <t>A. To enhance pupils' understanding of our country and strengthen their sense of national identity.&lt;br&gt;B. To foster pupils' physical, mental and spiritual well-being by reinforcing Values Education.</t>
  </si>
  <si>
    <t>Chiu Sheung School, Hong Kong</t>
  </si>
  <si>
    <t>http://www.csshk.edu.hk</t>
  </si>
  <si>
    <t>Chinese &amp; English</t>
  </si>
  <si>
    <t>Music Rooms, Activity Room, Visual Arts Room, Counselling Room, Conference Room, Group Learning Rooms, Speech Therapy Room, STEM Room.</t>
  </si>
  <si>
    <t>Accessible public information / service counter.</t>
  </si>
  <si>
    <t>No</t>
  </si>
  <si>
    <t>Healthiness, Confidence, Care and Inclusiveness.</t>
  </si>
  <si>
    <t>King's College Old Boys' Association Primary School</t>
  </si>
  <si>
    <t>http://www.kcobaps1.edu.hk</t>
  </si>
  <si>
    <t>AI Resource Center, English room, Innospace, Music room, guidance and counselling room and multi-purpose room.</t>
  </si>
  <si>
    <t>Elevating platform.</t>
  </si>
  <si>
    <t>1. Develop school-based STEAM curriculum and Artificial Intelligence (A.I.) curriculum.&lt;br&gt;2. Develop positive education, national education and healthy growth of students.&lt;br&gt;3. Strengthening cross-curricular learning for developing lifelong learning capabilities</t>
  </si>
  <si>
    <t>S.K.H. Kei Yan Primary School</t>
  </si>
  <si>
    <t>http://www.skhkyps.edu.hk</t>
  </si>
  <si>
    <t>1 TV Campus, 1 Visual Arts room, 2 Music rooms, 1 Multi-purpose Activity room, 1 STEM room, 1 English Language room, 1 Remedial Teaching room.</t>
  </si>
  <si>
    <t>1. To foster proper values and attitudes in students&lt;br&gt;2. To cultivate types of literacy students need in the 21st century</t>
  </si>
  <si>
    <t>S.K.H. Lui Ming Choi Memorial Primary School</t>
  </si>
  <si>
    <t>https://www.skhlmcmps.edu.hk</t>
  </si>
  <si>
    <t>Computer rooms, Library, School TV Broadcasting Room, Music Room, Art Room, Technology and Innovation Lab, Reading caf√©, Flyer Learning Room, Church, etc.</t>
  </si>
  <si>
    <t>Lift (1, 3, 6 / Floor only).</t>
  </si>
  <si>
    <t>1. Continue to promote values education to cultivate students into healthy and well-rounded citizens with physical and mental wellness.&lt;br&gt;2. Strengthen the implementation of STEAM education to nurture students as proactive learners.</t>
  </si>
  <si>
    <t>S.K.H. St. Peter's Primary School</t>
  </si>
  <si>
    <t>http://www.spps.edu.hk</t>
  </si>
  <si>
    <t>Music Room, Computer Room, Visual Arts Room, STEAM Room, English Room, Student Activity Room, Campus TV.</t>
  </si>
  <si>
    <t>1. Fostering students' growth mindset and positive values to live a healthy and confident life. &lt;br&gt;2. Enhancing students' high order thinking and communication skills, integrating STEAM education and history-cultural education, and applying what they have learnt in practice.</t>
  </si>
  <si>
    <t>St. Anthony's School</t>
  </si>
  <si>
    <t>http://www.stanthonys.edu.hk</t>
  </si>
  <si>
    <t>8 rooms (2 staff rooms, INNOSPACE, music room, counselling room, speech therapy room, MAKER SPACE, meeting room)</t>
  </si>
  <si>
    <t>1. Enrich students' diverse learning experiences and broaden their horizons.&lt;br&gt;2. Practice the 'Life' core value in Catholic Education, and live a healthy and positive life in terms of physical, mental, and spiritual health.</t>
  </si>
  <si>
    <t>Bonham Road Government Primary School</t>
  </si>
  <si>
    <t>http://www.brgps.edu.hk</t>
  </si>
  <si>
    <t>King's College, Belilios College, Clementi College, &lt;br&gt;Tang Shiu Kin Victoria Government Secondary School</t>
  </si>
  <si>
    <t>Music, Visual Art, Computer, English, Counselling, Conference, Multi-purpose &amp; PTA rooms.</t>
  </si>
  <si>
    <t>To encourage students to sustain the development of desirable self-regulated learning habits &amp; strategies in order to enhance learning &amp; teaching effectiveness.&lt;br&gt;To nurture students' accurate values and patriotism through the cultivation of positive thinking in school.</t>
  </si>
  <si>
    <t>Southern</t>
  </si>
  <si>
    <t>St. Peter's Catholic Primary School</t>
  </si>
  <si>
    <t>http://www.spcps.edu.hk</t>
  </si>
  <si>
    <t>St. Peter's Secondary School</t>
  </si>
  <si>
    <t>STREAM Multi-intelligence Learning Room, STEM+ Room, Tabletops Corner, Sports Zone, Science Room, Art Room, Religious Room, Music Room, Multi-Purpose Activity Room, English Room, P.E. Room, Counselling Room &amp; Treatment Room</t>
  </si>
  <si>
    <t>Ramp, Accessible lift and Tactile guide path plan.</t>
  </si>
  <si>
    <t>1. To employ the five core values of Catholic education to advance value education and strengthen students' mental health.&lt;br&gt;2. To use a variety of learning modes to optimize learning and teaching and boost learning competency.</t>
  </si>
  <si>
    <t>Precious Blood Primary School (South Horizons)</t>
  </si>
  <si>
    <t>http://www.pbpssh.edu.hk</t>
  </si>
  <si>
    <t>Campus TV Control Room, Dancing Room, Prayer Room, English Room, General Studies Room, Music Room, Visual Art Room, Computer Room, STEAM Room, Special Teaching Room, etc.</t>
  </si>
  <si>
    <t>Accessible lift, Accessible toilet, Braille and tactile floor plan, Tactile guide path and Accessible public information / service counter.</t>
  </si>
  <si>
    <t>1. To expand the realm of reading, promote a reading atmosphere and broaden disciplinary knowledge. &lt;br&gt;2. To cultivate positive thinking and reinforce value education, and thus the healthy development of our students.</t>
  </si>
  <si>
    <t>S.K.H. Chi Fu Chi Nam Primary School</t>
  </si>
  <si>
    <t>http://www.skhcfcn.edu.hk/</t>
  </si>
  <si>
    <t xml:space="preserve">STEM Lab, English Activity Room, IT Room, Medical Room, Music Room, Art Room, Remedial-teaching Classroom, Campus TV, Counselling Room , Green Garden and Conference Room. </t>
  </si>
  <si>
    <t>Ramp, Accessible lift and Accessible toilet.</t>
  </si>
  <si>
    <t>1. Cultivate student reading habit by enriching the reading environment. Equip them with the self-directed learning. To enhance one's reading capacity learning to life-long learning and empower own's national identity.&lt;br&gt;2. Nurture students' positive values and attitudes. Be capable of enhancing self-management skill, leading a healthy and self-confident life.</t>
  </si>
  <si>
    <t>Hong Kong Southern District Government Primary School</t>
  </si>
  <si>
    <t>http://www.hksdgps.edu.hk</t>
  </si>
  <si>
    <t>King's College, Belilios Public School, Clementi Secondary School,&lt;br&gt;Tang Shiu Kin Victoria Government School</t>
  </si>
  <si>
    <t>English Room, General Studies Room, Music Room, Visual Arts Room,&lt;br&gt;Computer Room, STEM Room, Dancing Room, School Campus TV.</t>
  </si>
  <si>
    <t>1. Promote innovative teaching methodologies, foster student-centred learning, enrich diverse learning experiences, enhance students' self-confidence, and prepare them for the future.&lt;br&gt;2. Broaden students' horizons, cultivate a positive life attitude, and nurture students to become responsible citizens of the new generation.</t>
  </si>
  <si>
    <t>S.K.H. Tin Wan Chi Nam Primary School</t>
  </si>
  <si>
    <t>http://www.tcn.edu.hk/</t>
  </si>
  <si>
    <t xml:space="preserve">STEAM Room, Music Room, Visual Arts Room, General Studies Room, Remedial Teaching Room, Computer Room, Play Therapy Room, Place of Worship, English Room, Mathematics Learning Centres, Campus TV Studio, Library, Student Activity Centre, PTA Resource Centre, Parents' Corner. </t>
  </si>
  <si>
    <t>Ramp, Accessible lift, Accessible toilet, Tactile guide path, Accessible public information / service counter and Visual fire alarm system.</t>
  </si>
  <si>
    <t xml:space="preserve">1. To nurture students to become reflective learners, who persistently strive to thrive at their own pace and, so as to meet the ever-changing needs of the future. &lt;br&gt;2. To let our students live an active and healthy life by strengthening students' positive values in a positive school culture. *Priority Values ‚Äì Love &amp; Filial Piety, Humility &amp; diligence #Motto of the Year: Positive Mindset Powers Growth and Creates a Bright Future. </t>
  </si>
  <si>
    <t>TWGHs Hok Shan School</t>
  </si>
  <si>
    <t>http://www.hokshan.edu.hk</t>
  </si>
  <si>
    <t>eSports Space, Dream Builder Space (STEAM Room), Computer Room, Hok Shan Campus TV, English Activity Room, Library, Mathematics Room, Music Room, Dance Room, Visual &amp; Arts Room, Multi-purpose Room.</t>
  </si>
  <si>
    <t>Ramp, Accessible lift, Accessible toilet and Accessible public information / service counter.</t>
  </si>
  <si>
    <t>1. Making good use of learning time, creating space, and showcasing potential.&lt;br&gt;2. Cultivating students to become "good students" who love their school, themselves, and others.</t>
  </si>
  <si>
    <t>Aberdeen St. Peter's Catholic Primary School</t>
  </si>
  <si>
    <t>http://www.aspcps.edu.hk</t>
  </si>
  <si>
    <t>English Room, Computer Room, Music Room, Dancing Room, Religious Room, Flexible Learning Room, etc.</t>
  </si>
  <si>
    <t>Ramp, Accessible lift, Accessible toilet, Braille and tactile floor plan and Tactile guide path plan.</t>
  </si>
  <si>
    <t>1. To enhance students' generic skills by aligning with the development of the school-based curriculum.   &lt;br&gt;2. To assist students in setting  aspirations and fostering good learning habits through implementing the "The Stars of ASPCPS" Talent Educational Program.</t>
  </si>
  <si>
    <t>Wan Chai</t>
  </si>
  <si>
    <t>Marymount Primary School</t>
  </si>
  <si>
    <t>http://www.mps.edu.hk</t>
  </si>
  <si>
    <t>Marymount Secondary School</t>
  </si>
  <si>
    <t>Chapel, Small Group Teaching Room, General Studies Room, Music Room, Visual Arts Room, Computer Room, Language and Music Activity Room, Student Activity Centre</t>
  </si>
  <si>
    <t>1. To promote the Mental, Physical and Spiritual/Social Well-being for nurturing our students to become HAPPY. (PERMA)&lt;br&gt;    H - Harmonious Relationship (PERMA ‚Äì Relationship)&lt;br&gt;    A - Accomplishment (PERMA ‚Äì Accomplishment)&lt;br&gt;    P - Purpose in Life (PERMA ‚Äì Meaning)&lt;br&gt;    P - Participation (PERMA ‚Äì Engagement) &lt;br&gt;    Y - ‚ÄúYes I can!‚Äù Emotions (PERMA ‚Äì Positive Emotion)&lt;br&gt;2. To enhance effective diverse learning processes for cultivating our students to become Multi-perspective MPS Thinkers and Respectful MPS Collaborators.</t>
  </si>
  <si>
    <t>Sir Ellis Kadoorie (Sookunpo) Primary School</t>
  </si>
  <si>
    <t>http://www.sekps.edu.hk</t>
  </si>
  <si>
    <t>Sir Ellis Kadoorie Secondary School (West Kowloon)</t>
  </si>
  <si>
    <t>Music Rooms, Visual Arts Room, English Room, Chinese Room, 2 Computer Rooms, Campus TV Room, Student Activity Centre and STEAM Room.</t>
  </si>
  <si>
    <t>To help students to become dynamic and multi-talented individuals: &lt;br&gt;(1) To nurture our students into invigorating and revitalizing individuals.&lt;br&gt;(2) To enable students to possess essential skills for the 21st Century.</t>
  </si>
  <si>
    <t>St. Francis' Canossian School</t>
  </si>
  <si>
    <t>http://www.sfcs.edu.hk</t>
  </si>
  <si>
    <t>St. Francis' Canossian College</t>
  </si>
  <si>
    <t>Chapel, Gymnasium, Music Room, Computer Education Room, Remedial Teaching Room, Student Activity Room, English Language Room, Language Room, Visual Art Room, General Studies Room, General Purpose Room etc.</t>
  </si>
  <si>
    <t>Accessible toilet.</t>
  </si>
  <si>
    <t>"Values Education" and "Enriching Students' Learning Experiences," allowing students to develop holistically across six areas, practicing whole-person education. Emphasis is placed on values education to cultivate students‚Äô character based on the Canossian values of "Respect," "Gratitude," and "Responsibility," enabling them to become good citizens. Effective use of learning time creates space to enrich students' diverse learning experiences and integrates health elements to promote students' physical, mental, and social well-being.</t>
  </si>
  <si>
    <t>St. Paul's Primary Catholic School</t>
  </si>
  <si>
    <t>http://www.sppcs.edu.hk</t>
  </si>
  <si>
    <t>St. Paul's Secondary School</t>
  </si>
  <si>
    <t>Chapel, Music Rm, Computer Rm, General Study Rm, Visual Arts Rm, Library, English Wonderland, Multifunction Area, SGP's Rm, Medical Rm and Activity Rms.</t>
  </si>
  <si>
    <t>1. Area of Concern 1 - "Strengthening values education and showcasing arts capacity"&lt;br&gt;2. Area of Concern 2 - "Catering for learner diversity and enriching learning experiences"&lt;br&gt;</t>
  </si>
  <si>
    <t>Li Sing Tai Hang School</t>
  </si>
  <si>
    <t>http://www.lsths.edu.hk</t>
  </si>
  <si>
    <t>Library, Multi-purpose Room, Music Room, Conference Room, Medical Room, Activity Room.</t>
  </si>
  <si>
    <t>1. Establish a healthy lifestyle and embrace a healthy life. 2. Inherit Chinese virtues, strengthen national and national security education, and cultivate positive values and attitudes.</t>
  </si>
  <si>
    <t>Po Kok Primary School</t>
  </si>
  <si>
    <t>http://www.pokokps.edu.hk</t>
  </si>
  <si>
    <t>Buddhism</t>
  </si>
  <si>
    <t>Multi-Media Learning Centre, Campus TV, Multi-sensory Interactive Learning Centre, Music Room, Gym, Student Activity Centre, English Activity Room and Rock Climbing Wall.</t>
  </si>
  <si>
    <t xml:space="preserve">1. Engage Students Through Wonder, Nurture Active Learners &lt;br&gt;2. Implement Positive Education, Cultivate Students' Positive Values and Mindsets, and Enhance Their Sense of Well-being </t>
  </si>
  <si>
    <t>P.L.K. Gold &amp; Silver Exchange Society Pershing Tsang School</t>
  </si>
  <si>
    <t>http://www.plkgspts.edu.hk</t>
  </si>
  <si>
    <t>Multi-media Teaching Room, Student Activity Room, Science Room, Visual Arts Room, Music Room, Multi-purpose Room and Guidance Activity Room.</t>
  </si>
  <si>
    <t>1. Continuous curriculum development to strengthen students' sense of national identity and deepen their awareness of safeguarding national security.&lt;br&gt;2. Continue character education to cultivate students into good citizens with positive values and attitudes.</t>
  </si>
  <si>
    <t>S.K.H. St. James' Primary School</t>
  </si>
  <si>
    <t>http://www.skhsjps.edu.hk</t>
  </si>
  <si>
    <t>Language Room, Computer Room, Music Room, Visual-art Room, General Studies Room, Multi-purpose Room, Student Activity Room, Small Group Teaching Room, PTA/Alumni Room, SGT Room, Speech Therapy Room.</t>
  </si>
  <si>
    <t>1. "Establish diverse learning experiences to enhance student interaction and learning effectiveness.&lt;br&gt;2. Create a positive school atmosphere to cultivate students' positive values and attitudes."</t>
  </si>
  <si>
    <t>TWGHs Li Chi Ho Primary School</t>
  </si>
  <si>
    <t>http://www.twghlchps.edu.hk</t>
  </si>
  <si>
    <t>Chinese(incl.: Putonghua)</t>
  </si>
  <si>
    <t>English room, Creative Space, real time distance learning room, central library, music room, visual-art room, student counselling room, student activity centre.</t>
  </si>
  <si>
    <t>Ramp and Accessible lift.</t>
  </si>
  <si>
    <t>1. Develop children's positive values to encounter the challenges in learning and life, the ability to show their potential, care for others, know self-study, pursue excellence, strong language skills, Mathematics and science.&lt;br&gt;2. With the aim of cultivating a "Love for learning and learning to love", "Change to become better", "Hope for future", "Passion for well-being", and "Success for everyone", we strive to achieve these goals for our students.</t>
  </si>
  <si>
    <t>Hennessy Road Government Primary School</t>
  </si>
  <si>
    <t>http://www.hrgps.edu.hk</t>
  </si>
  <si>
    <t>Queen's College, Belilios Public School, Clementi Secondary School,&lt;br&gt;Tang Siu Kin Victoria Government Secondary School,&lt;br&gt;Hotung Secondary School</t>
  </si>
  <si>
    <t>Visual art room, 3 music rooms, 2 student activity centres, computer room, Inno Space, 2 remedial learning rooms, counselling room, medical room.</t>
  </si>
  <si>
    <t>1. To foster student's life-long learning activity through various learning experience.&lt;br&gt;2. Further enhance value education to nurture students with health.</t>
  </si>
  <si>
    <t>Hennessy Road Government Primary School (Causeway Bay)</t>
  </si>
  <si>
    <t>https://www.hrgpscwb.edu.hk</t>
  </si>
  <si>
    <t>Queen's College, Belilios Public School, &lt;br&gt;Clementi Secondary School, Hotung Secondary School, &lt;br&gt;Tang Shiu Kin Victoria Government Secondary School</t>
  </si>
  <si>
    <t>13 special rooms including Computer Room, 2 Music Rooms, Campus TV Control Room, 3 Remedial Teaching Rooms, Visual Arts Room, Language Room, Medical Room, Student Guidance Officer's Room and so on.</t>
  </si>
  <si>
    <t>1 .Cultivate students to become good citizens with global perspective and live a positive and healthy life. &lt;br&gt;2. Enhance students inquiry ability, creativity and language skills through the integration of science, technology and cross-curricular activities.</t>
  </si>
  <si>
    <t>Precious Blood Primary School</t>
  </si>
  <si>
    <t>http://www.preciousbloodhv.edu.hk</t>
  </si>
  <si>
    <t xml:space="preserve">Computer room, English room, Innovative Centre, Music room, Multi-purpose room and Library for teaching and learning. Rooms for non-academic purposes: Conference room, Student Counselling room, Sick room and Campus TV.   </t>
  </si>
  <si>
    <t>‚ÄúMulti-dimensional development, inspiring potentials; positive education, walking together in beauty and goodness." Teachers utilize a school-based multi-dimensional management model to cater for learners' diversities, develop their multiple potentials, and cultivate positive values and attitudes, enabling students to follow the spirit of loving God and loving others as Jesus Christ did, achieving holistic development and moving towards a positive life journey.</t>
  </si>
  <si>
    <t>Reference</t>
  </si>
  <si>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</sst>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2"/>
      <color theme="1"/>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20" fontId="0" fillId="0" borderId="0" xfId="0" applyNumberFormat="1"/>
    <xf numFmtId="0" fontId="18" fillId="0" borderId="0" xfId="0" applyFont="1"/>
    <xf numFmtId="20" fontId="18" fillId="0" borderId="0" xfId="0" applyNumberFormat="1" applyFont="1"/>
    <xf numFmtId="0" fontId="19" fillId="0" borderId="0" xfId="0" applyFont="1"/>
    <xf numFmtId="20" fontId="19"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84080-653A-A348-A2B8-59E32FD64152}">
  <sheetPr filterMode="1"/>
  <dimension ref="A1:BI33"/>
  <sheetViews>
    <sheetView tabSelected="1" workbookViewId="0">
      <selection activeCell="H21" sqref="H21"/>
    </sheetView>
  </sheetViews>
  <sheetFormatPr baseColWidth="10" defaultRowHeight="16" x14ac:dyDescent="0.2"/>
  <cols>
    <col min="1" max="1" width="16" bestFit="1" customWidth="1"/>
    <col min="2" max="2" width="50.6640625" bestFit="1" customWidth="1"/>
    <col min="3" max="3" width="16.33203125" bestFit="1" customWidth="1"/>
    <col min="4" max="4" width="12.1640625" customWidth="1"/>
    <col min="5" max="5" width="14.33203125" customWidth="1"/>
    <col min="6" max="6" width="14.6640625" bestFit="1" customWidth="1"/>
    <col min="7" max="8" width="14.6640625" customWidth="1"/>
    <col min="9" max="9" width="30.5" bestFit="1" customWidth="1"/>
    <col min="10" max="11" width="15.1640625" hidden="1" customWidth="1"/>
    <col min="12" max="12" width="16.1640625" bestFit="1" customWidth="1"/>
    <col min="13" max="13" width="23.6640625" bestFit="1" customWidth="1"/>
    <col min="14" max="14" width="13" bestFit="1" customWidth="1"/>
    <col min="15" max="15" width="32" bestFit="1" customWidth="1"/>
    <col min="16" max="16" width="24.6640625" bestFit="1" customWidth="1"/>
    <col min="17" max="17" width="27.6640625" bestFit="1" customWidth="1"/>
    <col min="18" max="18" width="130.5" bestFit="1" customWidth="1"/>
    <col min="19" max="19" width="12.6640625" bestFit="1" customWidth="1"/>
    <col min="20" max="20" width="12.1640625" bestFit="1" customWidth="1"/>
    <col min="21" max="21" width="20.6640625" bestFit="1" customWidth="1"/>
    <col min="22" max="22" width="21.5" bestFit="1" customWidth="1"/>
    <col min="23" max="23" width="21.1640625" bestFit="1" customWidth="1"/>
    <col min="24" max="24" width="17.33203125" bestFit="1" customWidth="1"/>
    <col min="25" max="25" width="237" bestFit="1" customWidth="1"/>
    <col min="26" max="26" width="111.5" bestFit="1" customWidth="1"/>
    <col min="27" max="27" width="45.1640625" bestFit="1" customWidth="1"/>
    <col min="28" max="28" width="36.1640625" bestFit="1" customWidth="1"/>
    <col min="29" max="29" width="50.33203125" bestFit="1" customWidth="1"/>
    <col min="30" max="30" width="36.5" bestFit="1" customWidth="1"/>
    <col min="31" max="31" width="51.83203125" bestFit="1" customWidth="1"/>
    <col min="32" max="32" width="45.6640625" bestFit="1" customWidth="1"/>
    <col min="33" max="34" width="35.1640625" bestFit="1" customWidth="1"/>
    <col min="35" max="35" width="42.6640625" bestFit="1" customWidth="1"/>
    <col min="36" max="41" width="28.1640625" bestFit="1" customWidth="1"/>
    <col min="42" max="42" width="30.1640625" bestFit="1" customWidth="1"/>
    <col min="43" max="48" width="27.33203125" bestFit="1" customWidth="1"/>
    <col min="49" max="49" width="29.33203125" bestFit="1" customWidth="1"/>
    <col min="50" max="50" width="22.83203125" bestFit="1" customWidth="1"/>
    <col min="51" max="51" width="24.1640625" bestFit="1" customWidth="1"/>
    <col min="52" max="52" width="22" bestFit="1" customWidth="1"/>
    <col min="53" max="53" width="25.6640625" bestFit="1" customWidth="1"/>
    <col min="54" max="54" width="18.83203125" bestFit="1" customWidth="1"/>
    <col min="55" max="55" width="45.1640625" bestFit="1" customWidth="1"/>
    <col min="56" max="56" width="44.83203125" bestFit="1" customWidth="1"/>
    <col min="57" max="57" width="17" bestFit="1" customWidth="1"/>
    <col min="58" max="58" width="23" bestFit="1" customWidth="1"/>
    <col min="59" max="59" width="16.1640625" bestFit="1" customWidth="1"/>
    <col min="60" max="60" width="22.1640625" bestFit="1" customWidth="1"/>
    <col min="61" max="61" width="255.83203125" bestFit="1" customWidth="1"/>
  </cols>
  <sheetData>
    <row r="1" spans="1:61" x14ac:dyDescent="0.2">
      <c r="A1" t="s">
        <v>0</v>
      </c>
      <c r="B1" t="s">
        <v>1</v>
      </c>
      <c r="C1" t="s">
        <v>2</v>
      </c>
      <c r="D1" t="s">
        <v>3</v>
      </c>
      <c r="E1" t="s">
        <v>4</v>
      </c>
      <c r="F1" t="s">
        <v>5</v>
      </c>
      <c r="G1" t="s">
        <v>235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c r="AS1" t="s">
        <v>42</v>
      </c>
      <c r="AT1" t="s">
        <v>43</v>
      </c>
      <c r="AU1" t="s">
        <v>44</v>
      </c>
      <c r="AV1" t="s">
        <v>45</v>
      </c>
      <c r="AW1" t="s">
        <v>46</v>
      </c>
      <c r="AX1" t="s">
        <v>47</v>
      </c>
      <c r="AY1" t="s">
        <v>48</v>
      </c>
      <c r="AZ1" t="s">
        <v>49</v>
      </c>
      <c r="BA1" t="s">
        <v>50</v>
      </c>
      <c r="BB1" t="s">
        <v>51</v>
      </c>
      <c r="BC1" t="s">
        <v>52</v>
      </c>
      <c r="BD1" t="s">
        <v>53</v>
      </c>
      <c r="BE1" t="s">
        <v>54</v>
      </c>
      <c r="BF1" t="s">
        <v>55</v>
      </c>
      <c r="BG1" t="s">
        <v>56</v>
      </c>
      <c r="BH1" t="s">
        <v>57</v>
      </c>
      <c r="BI1" t="s">
        <v>58</v>
      </c>
    </row>
    <row r="2" spans="1:61" x14ac:dyDescent="0.2">
      <c r="A2" t="s">
        <v>139</v>
      </c>
      <c r="B2" t="s">
        <v>151</v>
      </c>
      <c r="C2">
        <v>18</v>
      </c>
      <c r="D2">
        <v>0.78</v>
      </c>
      <c r="E2">
        <v>2.61</v>
      </c>
      <c r="F2">
        <v>2.61</v>
      </c>
      <c r="G2">
        <f>SUM(D2*4,E2*3,F2*2)</f>
        <v>16.169999999999998</v>
      </c>
      <c r="I2" t="s">
        <v>152</v>
      </c>
      <c r="J2" t="s">
        <v>62</v>
      </c>
      <c r="K2" t="s">
        <v>63</v>
      </c>
      <c r="L2" t="s">
        <v>64</v>
      </c>
      <c r="M2" t="s">
        <v>101</v>
      </c>
      <c r="N2">
        <v>2835</v>
      </c>
      <c r="O2" t="s">
        <v>77</v>
      </c>
      <c r="P2" t="s">
        <v>67</v>
      </c>
      <c r="Q2" t="s">
        <v>67</v>
      </c>
      <c r="R2" t="s">
        <v>67</v>
      </c>
      <c r="S2" t="s">
        <v>68</v>
      </c>
      <c r="T2" t="s">
        <v>68</v>
      </c>
      <c r="U2">
        <v>24</v>
      </c>
      <c r="V2">
        <v>1</v>
      </c>
      <c r="W2">
        <v>3</v>
      </c>
      <c r="X2">
        <v>1</v>
      </c>
      <c r="Y2" t="s">
        <v>153</v>
      </c>
      <c r="Z2" t="s">
        <v>154</v>
      </c>
      <c r="AA2">
        <v>32</v>
      </c>
      <c r="AB2">
        <v>38</v>
      </c>
      <c r="AC2">
        <v>96</v>
      </c>
      <c r="AD2">
        <v>100</v>
      </c>
      <c r="AE2">
        <v>30</v>
      </c>
      <c r="AF2">
        <v>71</v>
      </c>
      <c r="AG2">
        <v>72</v>
      </c>
      <c r="AH2">
        <v>8</v>
      </c>
      <c r="AI2">
        <v>20</v>
      </c>
      <c r="AJ2">
        <v>1</v>
      </c>
      <c r="AK2">
        <v>2</v>
      </c>
      <c r="AL2">
        <v>2</v>
      </c>
      <c r="AM2">
        <v>4</v>
      </c>
      <c r="AN2">
        <v>3</v>
      </c>
      <c r="AO2">
        <v>3</v>
      </c>
      <c r="AP2">
        <v>15</v>
      </c>
      <c r="AQ2">
        <v>2</v>
      </c>
      <c r="AR2">
        <v>1</v>
      </c>
      <c r="AS2">
        <v>2</v>
      </c>
      <c r="AT2">
        <v>2</v>
      </c>
      <c r="AU2">
        <v>4</v>
      </c>
      <c r="AV2">
        <v>3</v>
      </c>
      <c r="AW2">
        <v>14</v>
      </c>
      <c r="AX2">
        <v>0</v>
      </c>
      <c r="AY2">
        <v>0</v>
      </c>
      <c r="AZ2" t="s">
        <v>68</v>
      </c>
      <c r="BA2">
        <v>0</v>
      </c>
      <c r="BB2">
        <v>3</v>
      </c>
      <c r="BC2" t="s">
        <v>68</v>
      </c>
      <c r="BD2" t="s">
        <v>68</v>
      </c>
      <c r="BE2" s="1">
        <v>0.33333333333333331</v>
      </c>
      <c r="BF2" t="s">
        <v>71</v>
      </c>
      <c r="BG2" s="1">
        <v>0.13541666666666666</v>
      </c>
      <c r="BH2" t="s">
        <v>72</v>
      </c>
      <c r="BI2" t="s">
        <v>155</v>
      </c>
    </row>
    <row r="3" spans="1:61" x14ac:dyDescent="0.2">
      <c r="A3" s="2" t="s">
        <v>59</v>
      </c>
      <c r="B3" s="2" t="s">
        <v>130</v>
      </c>
      <c r="C3" s="2">
        <v>11</v>
      </c>
      <c r="D3" s="2">
        <v>1.1000000000000001</v>
      </c>
      <c r="E3" s="2">
        <v>2.33</v>
      </c>
      <c r="F3" s="2">
        <v>2.33</v>
      </c>
      <c r="G3">
        <f>SUM(D3*4,E3*3,F3*2)</f>
        <v>16.05</v>
      </c>
      <c r="H3" t="s">
        <v>236</v>
      </c>
      <c r="I3" s="2" t="s">
        <v>131</v>
      </c>
      <c r="J3" s="2" t="s">
        <v>62</v>
      </c>
      <c r="K3" s="2" t="s">
        <v>63</v>
      </c>
      <c r="L3" s="2" t="s">
        <v>64</v>
      </c>
      <c r="M3" s="2" t="s">
        <v>65</v>
      </c>
      <c r="N3" s="2">
        <v>4500</v>
      </c>
      <c r="O3" s="2" t="s">
        <v>95</v>
      </c>
      <c r="P3" s="2" t="s">
        <v>67</v>
      </c>
      <c r="Q3" s="2" t="s">
        <v>67</v>
      </c>
      <c r="R3" s="2" t="s">
        <v>67</v>
      </c>
      <c r="S3" s="2" t="s">
        <v>68</v>
      </c>
      <c r="T3" s="2" t="s">
        <v>67</v>
      </c>
      <c r="U3" s="2">
        <v>18</v>
      </c>
      <c r="V3" s="2">
        <v>1</v>
      </c>
      <c r="W3" s="2">
        <v>2</v>
      </c>
      <c r="X3" s="2">
        <v>1</v>
      </c>
      <c r="Y3" s="2" t="s">
        <v>132</v>
      </c>
      <c r="Z3" s="2" t="s">
        <v>67</v>
      </c>
      <c r="AA3" s="2">
        <v>38</v>
      </c>
      <c r="AB3" s="2">
        <v>42</v>
      </c>
      <c r="AC3" s="2">
        <v>100</v>
      </c>
      <c r="AD3" s="2">
        <v>100</v>
      </c>
      <c r="AE3" s="2">
        <v>47</v>
      </c>
      <c r="AF3" s="2">
        <v>65</v>
      </c>
      <c r="AG3" s="2">
        <v>22</v>
      </c>
      <c r="AH3" s="2">
        <v>24</v>
      </c>
      <c r="AI3" s="2">
        <v>54</v>
      </c>
      <c r="AJ3" s="2">
        <v>3</v>
      </c>
      <c r="AK3" s="2">
        <v>3</v>
      </c>
      <c r="AL3" s="2">
        <v>3</v>
      </c>
      <c r="AM3" s="2">
        <v>3</v>
      </c>
      <c r="AN3" s="2">
        <v>3</v>
      </c>
      <c r="AO3" s="2">
        <v>3</v>
      </c>
      <c r="AP3" s="2">
        <v>18</v>
      </c>
      <c r="AQ3" s="2">
        <v>3</v>
      </c>
      <c r="AR3" s="2">
        <v>3</v>
      </c>
      <c r="AS3" s="2">
        <v>3</v>
      </c>
      <c r="AT3" s="2">
        <v>3</v>
      </c>
      <c r="AU3" s="2">
        <v>3</v>
      </c>
      <c r="AV3" s="2">
        <v>3</v>
      </c>
      <c r="AW3" s="2">
        <v>18</v>
      </c>
      <c r="AX3" s="2">
        <v>0</v>
      </c>
      <c r="AY3" s="2">
        <v>3</v>
      </c>
      <c r="AZ3" s="2" t="s">
        <v>68</v>
      </c>
      <c r="BA3" s="2">
        <v>0</v>
      </c>
      <c r="BB3" s="2">
        <v>3</v>
      </c>
      <c r="BC3" s="2" t="s">
        <v>68</v>
      </c>
      <c r="BD3" s="2" t="s">
        <v>68</v>
      </c>
      <c r="BE3" s="3">
        <v>0.32291666666666669</v>
      </c>
      <c r="BF3" s="2" t="s">
        <v>71</v>
      </c>
      <c r="BG3" s="3">
        <v>0.125</v>
      </c>
      <c r="BH3" s="2" t="s">
        <v>72</v>
      </c>
      <c r="BI3" s="2" t="s">
        <v>133</v>
      </c>
    </row>
    <row r="4" spans="1:61" x14ac:dyDescent="0.2">
      <c r="A4" s="2" t="s">
        <v>59</v>
      </c>
      <c r="B4" s="2" t="s">
        <v>134</v>
      </c>
      <c r="C4" s="2">
        <v>11</v>
      </c>
      <c r="D4" s="2">
        <v>1.17</v>
      </c>
      <c r="E4" s="2">
        <v>2.25</v>
      </c>
      <c r="F4" s="2">
        <v>2.25</v>
      </c>
      <c r="G4">
        <f>SUM(D4*4,E4*3,F4*2)</f>
        <v>15.93</v>
      </c>
      <c r="H4" t="s">
        <v>236</v>
      </c>
      <c r="I4" s="2" t="s">
        <v>135</v>
      </c>
      <c r="J4" s="2" t="s">
        <v>87</v>
      </c>
      <c r="K4" s="2" t="s">
        <v>63</v>
      </c>
      <c r="L4" s="2" t="s">
        <v>64</v>
      </c>
      <c r="M4" s="2" t="s">
        <v>76</v>
      </c>
      <c r="N4" s="2">
        <v>3765</v>
      </c>
      <c r="O4" s="2" t="s">
        <v>77</v>
      </c>
      <c r="P4" s="2" t="s">
        <v>67</v>
      </c>
      <c r="Q4" s="2" t="s">
        <v>67</v>
      </c>
      <c r="R4" s="2" t="s">
        <v>136</v>
      </c>
      <c r="S4" s="2" t="s">
        <v>67</v>
      </c>
      <c r="T4" s="2" t="s">
        <v>67</v>
      </c>
      <c r="U4" s="2">
        <v>12</v>
      </c>
      <c r="V4" s="2">
        <v>1</v>
      </c>
      <c r="W4" s="2">
        <v>2</v>
      </c>
      <c r="X4" s="2">
        <v>1</v>
      </c>
      <c r="Y4" s="2" t="s">
        <v>137</v>
      </c>
      <c r="Z4" s="2"/>
      <c r="AA4" s="2">
        <v>25</v>
      </c>
      <c r="AB4" s="2">
        <v>27</v>
      </c>
      <c r="AC4" s="2">
        <v>100</v>
      </c>
      <c r="AD4" s="2">
        <v>100</v>
      </c>
      <c r="AE4" s="2">
        <v>52</v>
      </c>
      <c r="AF4" s="2">
        <v>67</v>
      </c>
      <c r="AG4" s="2">
        <v>11</v>
      </c>
      <c r="AH4" s="2">
        <v>19</v>
      </c>
      <c r="AI4" s="2">
        <v>70</v>
      </c>
      <c r="AJ4" s="2">
        <v>2</v>
      </c>
      <c r="AK4" s="2">
        <v>2</v>
      </c>
      <c r="AL4" s="2">
        <v>2</v>
      </c>
      <c r="AM4" s="2">
        <v>2</v>
      </c>
      <c r="AN4" s="2">
        <v>2</v>
      </c>
      <c r="AO4" s="2">
        <v>2</v>
      </c>
      <c r="AP4" s="2">
        <v>12</v>
      </c>
      <c r="AQ4" s="2">
        <v>2</v>
      </c>
      <c r="AR4" s="2">
        <v>2</v>
      </c>
      <c r="AS4" s="2">
        <v>2</v>
      </c>
      <c r="AT4" s="2">
        <v>2</v>
      </c>
      <c r="AU4" s="2">
        <v>2</v>
      </c>
      <c r="AV4" s="2">
        <v>2</v>
      </c>
      <c r="AW4" s="2">
        <v>12</v>
      </c>
      <c r="AX4" s="2">
        <v>1</v>
      </c>
      <c r="AY4" s="2">
        <v>1</v>
      </c>
      <c r="AZ4" s="2" t="s">
        <v>68</v>
      </c>
      <c r="BA4" s="2">
        <v>2</v>
      </c>
      <c r="BB4" s="2">
        <v>2</v>
      </c>
      <c r="BC4" s="2" t="s">
        <v>110</v>
      </c>
      <c r="BD4" s="2" t="s">
        <v>110</v>
      </c>
      <c r="BE4" s="3">
        <v>0.33333333333333331</v>
      </c>
      <c r="BF4" s="2" t="s">
        <v>71</v>
      </c>
      <c r="BG4" s="3">
        <v>0.125</v>
      </c>
      <c r="BH4" s="2" t="s">
        <v>72</v>
      </c>
      <c r="BI4" s="2" t="s">
        <v>138</v>
      </c>
    </row>
    <row r="5" spans="1:61" s="2" customFormat="1" x14ac:dyDescent="0.2">
      <c r="A5" t="s">
        <v>59</v>
      </c>
      <c r="B5" t="s">
        <v>105</v>
      </c>
      <c r="C5">
        <v>11</v>
      </c>
      <c r="D5">
        <v>0.52</v>
      </c>
      <c r="E5">
        <v>2.76</v>
      </c>
      <c r="F5">
        <v>2.76</v>
      </c>
      <c r="G5">
        <f>SUM(D5*4,E5*3,F5*2)</f>
        <v>15.879999999999999</v>
      </c>
      <c r="H5"/>
      <c r="I5" t="s">
        <v>106</v>
      </c>
      <c r="J5" t="s">
        <v>62</v>
      </c>
      <c r="K5" t="s">
        <v>63</v>
      </c>
      <c r="L5" t="s">
        <v>64</v>
      </c>
      <c r="M5" t="s">
        <v>76</v>
      </c>
      <c r="N5">
        <v>6000</v>
      </c>
      <c r="O5" t="s">
        <v>107</v>
      </c>
      <c r="P5" t="s">
        <v>67</v>
      </c>
      <c r="Q5" t="s">
        <v>67</v>
      </c>
      <c r="R5" t="s">
        <v>67</v>
      </c>
      <c r="S5" t="s">
        <v>68</v>
      </c>
      <c r="T5" t="s">
        <v>68</v>
      </c>
      <c r="U5">
        <v>26</v>
      </c>
      <c r="V5">
        <v>1</v>
      </c>
      <c r="W5">
        <v>1</v>
      </c>
      <c r="X5">
        <v>1</v>
      </c>
      <c r="Y5" t="s">
        <v>108</v>
      </c>
      <c r="Z5" t="s">
        <v>109</v>
      </c>
      <c r="AA5">
        <v>43</v>
      </c>
      <c r="AB5">
        <v>58</v>
      </c>
      <c r="AC5">
        <v>100</v>
      </c>
      <c r="AD5">
        <v>100</v>
      </c>
      <c r="AE5">
        <v>19</v>
      </c>
      <c r="AF5">
        <v>60</v>
      </c>
      <c r="AG5">
        <v>40</v>
      </c>
      <c r="AH5">
        <v>27</v>
      </c>
      <c r="AI5">
        <v>33</v>
      </c>
      <c r="AJ5">
        <v>3</v>
      </c>
      <c r="AK5">
        <v>3</v>
      </c>
      <c r="AL5">
        <v>4</v>
      </c>
      <c r="AM5">
        <v>4</v>
      </c>
      <c r="AN5">
        <v>4</v>
      </c>
      <c r="AO5">
        <v>4</v>
      </c>
      <c r="AP5">
        <v>22</v>
      </c>
      <c r="AQ5">
        <v>3</v>
      </c>
      <c r="AR5">
        <v>3</v>
      </c>
      <c r="AS5">
        <v>3</v>
      </c>
      <c r="AT5">
        <v>4</v>
      </c>
      <c r="AU5">
        <v>4</v>
      </c>
      <c r="AV5">
        <v>4</v>
      </c>
      <c r="AW5">
        <v>21</v>
      </c>
      <c r="AX5">
        <v>0</v>
      </c>
      <c r="AY5">
        <v>1</v>
      </c>
      <c r="AZ5" t="s">
        <v>68</v>
      </c>
      <c r="BA5">
        <v>0</v>
      </c>
      <c r="BB5">
        <v>2</v>
      </c>
      <c r="BC5" t="s">
        <v>68</v>
      </c>
      <c r="BD5" t="s">
        <v>110</v>
      </c>
      <c r="BE5" s="1">
        <v>0.33333333333333331</v>
      </c>
      <c r="BF5" t="s">
        <v>71</v>
      </c>
      <c r="BG5" s="1">
        <v>0.1388888888888889</v>
      </c>
      <c r="BH5" t="s">
        <v>72</v>
      </c>
      <c r="BI5" t="s">
        <v>111</v>
      </c>
    </row>
    <row r="6" spans="1:61" s="4" customFormat="1" x14ac:dyDescent="0.2">
      <c r="A6" s="4" t="s">
        <v>176</v>
      </c>
      <c r="B6" s="4" t="s">
        <v>187</v>
      </c>
      <c r="C6" s="4">
        <v>12</v>
      </c>
      <c r="D6" s="4">
        <v>0.91</v>
      </c>
      <c r="E6" s="4">
        <v>2.33</v>
      </c>
      <c r="F6" s="4">
        <v>2.33</v>
      </c>
      <c r="G6" s="4">
        <f>SUM(D6*4,E6*3,F6*2)</f>
        <v>15.290000000000001</v>
      </c>
      <c r="I6" s="4" t="s">
        <v>188</v>
      </c>
      <c r="J6" s="2" t="s">
        <v>62</v>
      </c>
      <c r="K6" s="2" t="s">
        <v>63</v>
      </c>
      <c r="L6" s="4" t="s">
        <v>94</v>
      </c>
      <c r="M6" s="4" t="s">
        <v>65</v>
      </c>
      <c r="N6" s="4">
        <v>4000</v>
      </c>
      <c r="O6" s="4" t="s">
        <v>77</v>
      </c>
      <c r="P6" s="4" t="s">
        <v>67</v>
      </c>
      <c r="Q6" s="4" t="s">
        <v>189</v>
      </c>
      <c r="R6" s="4" t="s">
        <v>67</v>
      </c>
      <c r="S6" s="4" t="s">
        <v>68</v>
      </c>
      <c r="T6" s="4" t="s">
        <v>67</v>
      </c>
      <c r="U6" s="4">
        <v>24</v>
      </c>
      <c r="V6" s="4">
        <v>1</v>
      </c>
      <c r="W6" s="4">
        <v>2</v>
      </c>
      <c r="X6" s="4">
        <v>1</v>
      </c>
      <c r="Y6" s="4" t="s">
        <v>190</v>
      </c>
      <c r="Z6" s="4" t="s">
        <v>191</v>
      </c>
      <c r="AA6" s="4">
        <v>49</v>
      </c>
      <c r="AB6" s="4">
        <v>56</v>
      </c>
      <c r="AC6" s="4">
        <v>100</v>
      </c>
      <c r="AD6" s="4">
        <v>100</v>
      </c>
      <c r="AE6" s="4">
        <v>39</v>
      </c>
      <c r="AF6" s="4">
        <v>69</v>
      </c>
      <c r="AG6" s="4">
        <v>21</v>
      </c>
      <c r="AH6" s="4">
        <v>13</v>
      </c>
      <c r="AI6" s="4">
        <v>66</v>
      </c>
      <c r="AJ6" s="4">
        <v>4</v>
      </c>
      <c r="AK6" s="4">
        <v>4</v>
      </c>
      <c r="AL6" s="4">
        <v>4</v>
      </c>
      <c r="AM6" s="4">
        <v>4</v>
      </c>
      <c r="AN6" s="4">
        <v>4</v>
      </c>
      <c r="AO6" s="4">
        <v>4</v>
      </c>
      <c r="AP6" s="4">
        <v>24</v>
      </c>
      <c r="AQ6" s="4">
        <v>4</v>
      </c>
      <c r="AR6" s="4">
        <v>4</v>
      </c>
      <c r="AS6" s="4">
        <v>4</v>
      </c>
      <c r="AT6" s="4">
        <v>4</v>
      </c>
      <c r="AU6" s="4">
        <v>4</v>
      </c>
      <c r="AV6" s="4">
        <v>4</v>
      </c>
      <c r="AW6" s="4">
        <v>24</v>
      </c>
      <c r="AX6" s="4">
        <v>0</v>
      </c>
      <c r="AY6" s="4">
        <v>2</v>
      </c>
      <c r="AZ6" s="4" t="s">
        <v>68</v>
      </c>
      <c r="BA6" s="4">
        <v>0</v>
      </c>
      <c r="BB6" s="4">
        <v>3</v>
      </c>
      <c r="BC6" s="4" t="s">
        <v>68</v>
      </c>
      <c r="BD6" s="4" t="s">
        <v>68</v>
      </c>
      <c r="BE6" s="5">
        <v>0.3298611111111111</v>
      </c>
      <c r="BF6" s="4" t="s">
        <v>71</v>
      </c>
      <c r="BG6" s="5">
        <v>0.14583333333333334</v>
      </c>
      <c r="BH6" s="4" t="s">
        <v>72</v>
      </c>
      <c r="BI6" s="4" t="s">
        <v>192</v>
      </c>
    </row>
    <row r="7" spans="1:61" s="2" customFormat="1" x14ac:dyDescent="0.2">
      <c r="A7" s="2" t="s">
        <v>59</v>
      </c>
      <c r="B7" s="2" t="s">
        <v>99</v>
      </c>
      <c r="C7" s="2">
        <v>11</v>
      </c>
      <c r="D7" s="2">
        <v>1.37</v>
      </c>
      <c r="E7" s="2">
        <v>1.96</v>
      </c>
      <c r="F7" s="2">
        <v>1.96</v>
      </c>
      <c r="G7">
        <f>SUM(D7*4,E7*3,F7*2)</f>
        <v>15.28</v>
      </c>
      <c r="H7" t="s">
        <v>236</v>
      </c>
      <c r="I7" s="2" t="s">
        <v>100</v>
      </c>
      <c r="J7" s="2" t="s">
        <v>62</v>
      </c>
      <c r="K7" s="2" t="s">
        <v>63</v>
      </c>
      <c r="L7" s="2" t="s">
        <v>94</v>
      </c>
      <c r="M7" s="2" t="s">
        <v>101</v>
      </c>
      <c r="N7" s="2">
        <v>1196</v>
      </c>
      <c r="O7" s="2" t="s">
        <v>77</v>
      </c>
      <c r="P7" s="2" t="s">
        <v>67</v>
      </c>
      <c r="Q7" s="2" t="s">
        <v>102</v>
      </c>
      <c r="R7" s="2" t="s">
        <v>67</v>
      </c>
      <c r="S7" s="2" t="s">
        <v>68</v>
      </c>
      <c r="T7" s="2" t="s">
        <v>68</v>
      </c>
      <c r="U7" s="2">
        <v>24</v>
      </c>
      <c r="V7" s="2">
        <v>1</v>
      </c>
      <c r="W7" s="2">
        <v>3</v>
      </c>
      <c r="X7" s="2">
        <v>1</v>
      </c>
      <c r="Y7" s="2" t="s">
        <v>103</v>
      </c>
      <c r="Z7" s="2" t="s">
        <v>90</v>
      </c>
      <c r="AA7" s="2">
        <v>44</v>
      </c>
      <c r="AB7" s="2">
        <v>47</v>
      </c>
      <c r="AC7" s="2">
        <v>100</v>
      </c>
      <c r="AD7" s="2">
        <v>100</v>
      </c>
      <c r="AE7" s="2">
        <v>70</v>
      </c>
      <c r="AF7" s="2">
        <v>57</v>
      </c>
      <c r="AG7" s="2">
        <v>4</v>
      </c>
      <c r="AH7" s="2">
        <v>23</v>
      </c>
      <c r="AI7" s="2">
        <v>73</v>
      </c>
      <c r="AJ7" s="2">
        <v>4</v>
      </c>
      <c r="AK7" s="2">
        <v>4</v>
      </c>
      <c r="AL7" s="2">
        <v>4</v>
      </c>
      <c r="AM7" s="2">
        <v>4</v>
      </c>
      <c r="AN7" s="2">
        <v>4</v>
      </c>
      <c r="AO7" s="2">
        <v>4</v>
      </c>
      <c r="AP7" s="2">
        <v>24</v>
      </c>
      <c r="AQ7" s="2">
        <v>4</v>
      </c>
      <c r="AR7" s="2">
        <v>4</v>
      </c>
      <c r="AS7" s="2">
        <v>4</v>
      </c>
      <c r="AT7" s="2">
        <v>4</v>
      </c>
      <c r="AU7" s="2">
        <v>4</v>
      </c>
      <c r="AV7" s="2">
        <v>4</v>
      </c>
      <c r="AW7" s="2">
        <v>24</v>
      </c>
      <c r="AX7" s="2">
        <v>0</v>
      </c>
      <c r="AY7" s="2">
        <v>0</v>
      </c>
      <c r="AZ7" s="2" t="s">
        <v>68</v>
      </c>
      <c r="BA7" s="2">
        <v>2</v>
      </c>
      <c r="BB7" s="2">
        <v>2</v>
      </c>
      <c r="BC7" s="2" t="s">
        <v>68</v>
      </c>
      <c r="BD7" s="2" t="s">
        <v>68</v>
      </c>
      <c r="BE7" s="3">
        <v>0.33333333333333331</v>
      </c>
      <c r="BF7" s="2" t="s">
        <v>71</v>
      </c>
      <c r="BG7" s="3">
        <v>0.125</v>
      </c>
      <c r="BH7" s="2" t="s">
        <v>72</v>
      </c>
      <c r="BI7" s="2" t="s">
        <v>104</v>
      </c>
    </row>
    <row r="8" spans="1:61" s="2" customFormat="1" x14ac:dyDescent="0.2">
      <c r="A8" s="2" t="s">
        <v>59</v>
      </c>
      <c r="B8" s="2" t="s">
        <v>60</v>
      </c>
      <c r="C8" s="2">
        <v>11</v>
      </c>
      <c r="D8" s="2">
        <v>0.96</v>
      </c>
      <c r="E8" s="2">
        <v>2.2400000000000002</v>
      </c>
      <c r="F8" s="2">
        <v>2.2400000000000002</v>
      </c>
      <c r="G8">
        <f>SUM(D8*4,E8*3,F8*2)</f>
        <v>15.040000000000001</v>
      </c>
      <c r="H8" t="s">
        <v>236</v>
      </c>
      <c r="I8" s="2" t="s">
        <v>61</v>
      </c>
      <c r="J8" s="2" t="s">
        <v>62</v>
      </c>
      <c r="K8" s="2" t="s">
        <v>63</v>
      </c>
      <c r="L8" s="2" t="s">
        <v>64</v>
      </c>
      <c r="M8" s="2" t="s">
        <v>65</v>
      </c>
      <c r="N8" s="2">
        <v>6000</v>
      </c>
      <c r="O8" s="2" t="s">
        <v>66</v>
      </c>
      <c r="P8" s="2" t="s">
        <v>67</v>
      </c>
      <c r="Q8" s="2" t="s">
        <v>67</v>
      </c>
      <c r="R8" s="2" t="s">
        <v>67</v>
      </c>
      <c r="S8" s="2" t="s">
        <v>67</v>
      </c>
      <c r="T8" s="2" t="s">
        <v>68</v>
      </c>
      <c r="U8" s="2">
        <v>24</v>
      </c>
      <c r="V8" s="2">
        <v>1</v>
      </c>
      <c r="W8" s="2">
        <v>1</v>
      </c>
      <c r="X8" s="2">
        <v>1</v>
      </c>
      <c r="Y8" s="2" t="s">
        <v>69</v>
      </c>
      <c r="Z8" s="2" t="s">
        <v>70</v>
      </c>
      <c r="AA8" s="2">
        <v>40</v>
      </c>
      <c r="AB8" s="2">
        <v>47</v>
      </c>
      <c r="AC8" s="2">
        <v>100</v>
      </c>
      <c r="AD8" s="2">
        <v>100</v>
      </c>
      <c r="AE8" s="2">
        <v>43</v>
      </c>
      <c r="AF8" s="2">
        <v>25</v>
      </c>
      <c r="AG8" s="2">
        <v>40</v>
      </c>
      <c r="AH8" s="2">
        <v>26</v>
      </c>
      <c r="AI8" s="2">
        <v>34</v>
      </c>
      <c r="AJ8" s="2">
        <v>4</v>
      </c>
      <c r="AK8" s="2">
        <v>3</v>
      </c>
      <c r="AL8" s="2">
        <v>3</v>
      </c>
      <c r="AM8" s="2">
        <v>3</v>
      </c>
      <c r="AN8" s="2">
        <v>4</v>
      </c>
      <c r="AO8" s="2">
        <v>4</v>
      </c>
      <c r="AP8" s="2">
        <v>21</v>
      </c>
      <c r="AQ8" s="2">
        <v>4</v>
      </c>
      <c r="AR8" s="2">
        <v>4</v>
      </c>
      <c r="AS8" s="2">
        <v>3</v>
      </c>
      <c r="AT8" s="2">
        <v>3</v>
      </c>
      <c r="AU8" s="2">
        <v>3</v>
      </c>
      <c r="AV8" s="2">
        <v>4</v>
      </c>
      <c r="AW8" s="2">
        <v>21</v>
      </c>
      <c r="AX8" s="2">
        <v>0</v>
      </c>
      <c r="AY8" s="2">
        <v>0</v>
      </c>
      <c r="AZ8" s="2" t="s">
        <v>68</v>
      </c>
      <c r="BA8" s="2">
        <v>4</v>
      </c>
      <c r="BB8" s="2">
        <v>0</v>
      </c>
      <c r="BC8" s="2" t="s">
        <v>68</v>
      </c>
      <c r="BD8" s="2" t="s">
        <v>68</v>
      </c>
      <c r="BE8" s="3">
        <v>0.34722222222222221</v>
      </c>
      <c r="BF8" s="2" t="s">
        <v>71</v>
      </c>
      <c r="BG8" s="3">
        <v>0.1388888888888889</v>
      </c>
      <c r="BH8" s="2" t="s">
        <v>72</v>
      </c>
      <c r="BI8" s="2" t="s">
        <v>73</v>
      </c>
    </row>
    <row r="9" spans="1:61" x14ac:dyDescent="0.2">
      <c r="A9" s="2" t="s">
        <v>176</v>
      </c>
      <c r="B9" s="2" t="s">
        <v>177</v>
      </c>
      <c r="C9" s="2">
        <v>12</v>
      </c>
      <c r="D9" s="2">
        <v>1.08</v>
      </c>
      <c r="E9" s="2">
        <v>2.12</v>
      </c>
      <c r="F9" s="2">
        <v>2.12</v>
      </c>
      <c r="G9">
        <f>SUM(D9*4,E9*3,F9*2)</f>
        <v>14.92</v>
      </c>
      <c r="H9" t="s">
        <v>236</v>
      </c>
      <c r="I9" s="2" t="s">
        <v>178</v>
      </c>
      <c r="J9" s="2" t="s">
        <v>62</v>
      </c>
      <c r="K9" s="2" t="s">
        <v>63</v>
      </c>
      <c r="L9" s="2" t="s">
        <v>94</v>
      </c>
      <c r="M9" s="2" t="s">
        <v>65</v>
      </c>
      <c r="N9" s="2">
        <v>11204</v>
      </c>
      <c r="O9" s="2" t="s">
        <v>66</v>
      </c>
      <c r="P9" s="2" t="s">
        <v>67</v>
      </c>
      <c r="Q9" s="2" t="s">
        <v>179</v>
      </c>
      <c r="R9" s="2" t="s">
        <v>67</v>
      </c>
      <c r="S9" s="2" t="s">
        <v>67</v>
      </c>
      <c r="T9" s="2" t="s">
        <v>68</v>
      </c>
      <c r="U9" s="2">
        <v>24</v>
      </c>
      <c r="V9" s="2">
        <v>1</v>
      </c>
      <c r="W9" s="2">
        <v>2</v>
      </c>
      <c r="X9" s="2">
        <v>1</v>
      </c>
      <c r="Y9" s="2" t="s">
        <v>180</v>
      </c>
      <c r="Z9" s="2" t="s">
        <v>90</v>
      </c>
      <c r="AA9" s="2">
        <v>47</v>
      </c>
      <c r="AB9" s="2">
        <v>51</v>
      </c>
      <c r="AC9" s="2">
        <v>100</v>
      </c>
      <c r="AD9" s="2">
        <v>100</v>
      </c>
      <c r="AE9" s="2">
        <v>51</v>
      </c>
      <c r="AF9" s="2">
        <v>80</v>
      </c>
      <c r="AG9" s="2">
        <v>17</v>
      </c>
      <c r="AH9" s="2">
        <v>18</v>
      </c>
      <c r="AI9" s="2">
        <v>65</v>
      </c>
      <c r="AJ9" s="2">
        <v>4</v>
      </c>
      <c r="AK9" s="2">
        <v>4</v>
      </c>
      <c r="AL9" s="2">
        <v>4</v>
      </c>
      <c r="AM9" s="2">
        <v>4</v>
      </c>
      <c r="AN9" s="2">
        <v>4</v>
      </c>
      <c r="AO9" s="2">
        <v>4</v>
      </c>
      <c r="AP9" s="2">
        <v>24</v>
      </c>
      <c r="AQ9" s="2">
        <v>4</v>
      </c>
      <c r="AR9" s="2">
        <v>4</v>
      </c>
      <c r="AS9" s="2">
        <v>4</v>
      </c>
      <c r="AT9" s="2">
        <v>4</v>
      </c>
      <c r="AU9" s="2">
        <v>4</v>
      </c>
      <c r="AV9" s="2">
        <v>4</v>
      </c>
      <c r="AW9" s="2">
        <v>24</v>
      </c>
      <c r="AX9" s="2">
        <v>0</v>
      </c>
      <c r="AY9" s="2">
        <v>0</v>
      </c>
      <c r="AZ9" s="2" t="s">
        <v>68</v>
      </c>
      <c r="BA9" s="2">
        <v>0</v>
      </c>
      <c r="BB9" s="2">
        <v>3</v>
      </c>
      <c r="BC9" s="2" t="s">
        <v>110</v>
      </c>
      <c r="BD9" s="2" t="s">
        <v>110</v>
      </c>
      <c r="BE9" s="3">
        <v>0.33333333333333331</v>
      </c>
      <c r="BF9" s="2" t="s">
        <v>71</v>
      </c>
      <c r="BG9" s="3">
        <v>0.125</v>
      </c>
      <c r="BH9" s="2" t="s">
        <v>72</v>
      </c>
      <c r="BI9" s="2" t="s">
        <v>181</v>
      </c>
    </row>
    <row r="10" spans="1:61" x14ac:dyDescent="0.2">
      <c r="A10" t="s">
        <v>59</v>
      </c>
      <c r="B10" t="s">
        <v>85</v>
      </c>
      <c r="C10">
        <v>11</v>
      </c>
      <c r="D10">
        <v>0.96</v>
      </c>
      <c r="E10">
        <v>2.1800000000000002</v>
      </c>
      <c r="F10">
        <v>2.1800000000000002</v>
      </c>
      <c r="G10">
        <f>SUM(D10*4,E10*3,F10*2)</f>
        <v>14.740000000000002</v>
      </c>
      <c r="I10" t="s">
        <v>86</v>
      </c>
      <c r="J10" t="s">
        <v>87</v>
      </c>
      <c r="K10" t="s">
        <v>63</v>
      </c>
      <c r="L10" t="s">
        <v>64</v>
      </c>
      <c r="M10" t="s">
        <v>76</v>
      </c>
      <c r="N10">
        <v>2170</v>
      </c>
      <c r="O10" t="s">
        <v>77</v>
      </c>
      <c r="P10" t="s">
        <v>67</v>
      </c>
      <c r="Q10" t="s">
        <v>67</v>
      </c>
      <c r="R10" t="s">
        <v>88</v>
      </c>
      <c r="S10" t="s">
        <v>67</v>
      </c>
      <c r="T10" t="s">
        <v>68</v>
      </c>
      <c r="U10">
        <v>12</v>
      </c>
      <c r="V10">
        <v>1</v>
      </c>
      <c r="W10">
        <v>1</v>
      </c>
      <c r="X10">
        <v>1</v>
      </c>
      <c r="Y10" t="s">
        <v>89</v>
      </c>
      <c r="Z10" t="s">
        <v>90</v>
      </c>
      <c r="AA10">
        <v>23</v>
      </c>
      <c r="AB10">
        <v>24</v>
      </c>
      <c r="AC10">
        <v>100</v>
      </c>
      <c r="AD10">
        <v>100</v>
      </c>
      <c r="AE10">
        <v>44</v>
      </c>
      <c r="AF10">
        <v>74</v>
      </c>
      <c r="AG10">
        <v>13</v>
      </c>
      <c r="AH10">
        <v>13</v>
      </c>
      <c r="AI10">
        <v>74</v>
      </c>
      <c r="AJ10">
        <v>1</v>
      </c>
      <c r="AK10">
        <v>2</v>
      </c>
      <c r="AL10">
        <v>2</v>
      </c>
      <c r="AM10">
        <v>2</v>
      </c>
      <c r="AN10">
        <v>2</v>
      </c>
      <c r="AO10">
        <v>2</v>
      </c>
      <c r="AP10">
        <v>11</v>
      </c>
      <c r="AQ10">
        <v>2</v>
      </c>
      <c r="AR10">
        <v>1</v>
      </c>
      <c r="AS10">
        <v>2</v>
      </c>
      <c r="AT10">
        <v>2</v>
      </c>
      <c r="AU10">
        <v>2</v>
      </c>
      <c r="AV10">
        <v>2</v>
      </c>
      <c r="AW10">
        <v>11</v>
      </c>
      <c r="AX10">
        <v>0</v>
      </c>
      <c r="AY10">
        <v>0</v>
      </c>
      <c r="AZ10" t="s">
        <v>68</v>
      </c>
      <c r="BA10">
        <v>1</v>
      </c>
      <c r="BB10">
        <v>2</v>
      </c>
      <c r="BC10" t="s">
        <v>68</v>
      </c>
      <c r="BD10" t="s">
        <v>68</v>
      </c>
      <c r="BE10" s="1">
        <v>0.33333333333333331</v>
      </c>
      <c r="BF10" t="s">
        <v>71</v>
      </c>
      <c r="BG10" s="1">
        <v>0.125</v>
      </c>
      <c r="BH10" t="s">
        <v>72</v>
      </c>
      <c r="BI10" t="s">
        <v>91</v>
      </c>
    </row>
    <row r="11" spans="1:61" s="4" customFormat="1" x14ac:dyDescent="0.2">
      <c r="A11" s="4" t="s">
        <v>176</v>
      </c>
      <c r="B11" s="4" t="s">
        <v>231</v>
      </c>
      <c r="C11" s="4">
        <v>12</v>
      </c>
      <c r="D11" s="4">
        <v>1.18</v>
      </c>
      <c r="E11" s="4">
        <v>2</v>
      </c>
      <c r="F11" s="4">
        <v>2</v>
      </c>
      <c r="G11" s="4">
        <f>SUM(D11*4,E11*3,F11*2)</f>
        <v>14.719999999999999</v>
      </c>
      <c r="I11" s="4" t="s">
        <v>232</v>
      </c>
      <c r="J11" s="2" t="s">
        <v>62</v>
      </c>
      <c r="K11" s="2" t="s">
        <v>63</v>
      </c>
      <c r="L11" s="4" t="s">
        <v>64</v>
      </c>
      <c r="M11" s="4" t="s">
        <v>65</v>
      </c>
      <c r="N11" s="4">
        <v>1220</v>
      </c>
      <c r="O11" s="4" t="s">
        <v>77</v>
      </c>
      <c r="P11" s="4" t="s">
        <v>67</v>
      </c>
      <c r="Q11" s="4" t="s">
        <v>67</v>
      </c>
      <c r="R11" s="4" t="s">
        <v>67</v>
      </c>
      <c r="S11" s="4" t="s">
        <v>68</v>
      </c>
      <c r="T11" s="4" t="s">
        <v>68</v>
      </c>
      <c r="U11" s="4">
        <v>18</v>
      </c>
      <c r="V11" s="4">
        <v>0</v>
      </c>
      <c r="W11" s="4">
        <v>1</v>
      </c>
      <c r="X11" s="4">
        <v>1</v>
      </c>
      <c r="Y11" s="4" t="s">
        <v>233</v>
      </c>
      <c r="Z11" s="4" t="s">
        <v>83</v>
      </c>
      <c r="AA11" s="4">
        <v>32</v>
      </c>
      <c r="AB11" s="4">
        <v>32</v>
      </c>
      <c r="AC11" s="4">
        <v>100</v>
      </c>
      <c r="AD11" s="4">
        <v>100</v>
      </c>
      <c r="AE11" s="4">
        <v>59</v>
      </c>
      <c r="AF11" s="4">
        <v>81</v>
      </c>
      <c r="AG11" s="4">
        <v>15</v>
      </c>
      <c r="AH11" s="4">
        <v>19</v>
      </c>
      <c r="AI11" s="4">
        <v>66</v>
      </c>
      <c r="AJ11" s="4">
        <v>3</v>
      </c>
      <c r="AK11" s="4">
        <v>2</v>
      </c>
      <c r="AL11" s="4">
        <v>2</v>
      </c>
      <c r="AM11" s="4">
        <v>3</v>
      </c>
      <c r="AN11" s="4">
        <v>3</v>
      </c>
      <c r="AO11" s="4">
        <v>3</v>
      </c>
      <c r="AP11" s="4">
        <v>16</v>
      </c>
      <c r="AQ11" s="4">
        <v>3</v>
      </c>
      <c r="AR11" s="4">
        <v>3</v>
      </c>
      <c r="AS11" s="4">
        <v>2</v>
      </c>
      <c r="AT11" s="4">
        <v>2</v>
      </c>
      <c r="AU11" s="4">
        <v>3</v>
      </c>
      <c r="AV11" s="4">
        <v>3</v>
      </c>
      <c r="AW11" s="4">
        <v>16</v>
      </c>
      <c r="AX11" s="4">
        <v>0</v>
      </c>
      <c r="AY11" s="4">
        <v>2</v>
      </c>
      <c r="AZ11" s="4" t="s">
        <v>68</v>
      </c>
      <c r="BA11" s="4">
        <v>0</v>
      </c>
      <c r="BB11" s="4">
        <v>3</v>
      </c>
      <c r="BC11" s="4" t="s">
        <v>68</v>
      </c>
      <c r="BD11" s="4" t="s">
        <v>68</v>
      </c>
      <c r="BE11" s="5">
        <v>0.32291666666666669</v>
      </c>
      <c r="BF11" s="4" t="s">
        <v>71</v>
      </c>
      <c r="BG11" s="5">
        <v>0.12847222222222221</v>
      </c>
      <c r="BH11" s="4" t="s">
        <v>72</v>
      </c>
      <c r="BI11" s="4" t="s">
        <v>234</v>
      </c>
    </row>
    <row r="12" spans="1:61" s="2" customFormat="1" x14ac:dyDescent="0.2">
      <c r="A12" s="2" t="s">
        <v>59</v>
      </c>
      <c r="B12" s="2" t="s">
        <v>112</v>
      </c>
      <c r="C12" s="2">
        <v>11</v>
      </c>
      <c r="D12" s="2">
        <v>0.89</v>
      </c>
      <c r="E12" s="2">
        <v>2.16</v>
      </c>
      <c r="F12" s="2">
        <v>2.16</v>
      </c>
      <c r="G12" s="2">
        <f>SUM(D12*4,E12*3,F12*2)</f>
        <v>14.360000000000001</v>
      </c>
      <c r="H12" s="2" t="s">
        <v>236</v>
      </c>
      <c r="I12" s="2" t="s">
        <v>113</v>
      </c>
      <c r="J12" s="2" t="s">
        <v>62</v>
      </c>
      <c r="K12" s="2" t="s">
        <v>63</v>
      </c>
      <c r="L12" s="2" t="s">
        <v>64</v>
      </c>
      <c r="M12" s="2" t="s">
        <v>76</v>
      </c>
      <c r="N12" s="2">
        <v>3000</v>
      </c>
      <c r="O12" s="2" t="s">
        <v>95</v>
      </c>
      <c r="P12" s="2" t="s">
        <v>67</v>
      </c>
      <c r="Q12" s="2" t="s">
        <v>67</v>
      </c>
      <c r="R12" s="2" t="s">
        <v>67</v>
      </c>
      <c r="S12" s="2" t="s">
        <v>68</v>
      </c>
      <c r="T12" s="2" t="s">
        <v>67</v>
      </c>
      <c r="U12" s="2">
        <v>12</v>
      </c>
      <c r="V12" s="2">
        <v>1</v>
      </c>
      <c r="W12" s="2">
        <v>1</v>
      </c>
      <c r="X12" s="2">
        <v>1</v>
      </c>
      <c r="Y12" s="2" t="s">
        <v>114</v>
      </c>
      <c r="Z12" s="2" t="s">
        <v>115</v>
      </c>
      <c r="AA12" s="2">
        <v>26</v>
      </c>
      <c r="AB12" s="2">
        <v>27</v>
      </c>
      <c r="AC12" s="2">
        <v>96</v>
      </c>
      <c r="AD12" s="2">
        <v>100</v>
      </c>
      <c r="AE12" s="2">
        <v>41</v>
      </c>
      <c r="AF12" s="2">
        <v>54</v>
      </c>
      <c r="AG12" s="2">
        <v>26</v>
      </c>
      <c r="AH12" s="2">
        <v>26</v>
      </c>
      <c r="AI12" s="2">
        <v>48</v>
      </c>
      <c r="AJ12" s="2">
        <v>2</v>
      </c>
      <c r="AK12" s="2">
        <v>2</v>
      </c>
      <c r="AL12" s="2">
        <v>2</v>
      </c>
      <c r="AM12" s="2">
        <v>2</v>
      </c>
      <c r="AN12" s="2">
        <v>2</v>
      </c>
      <c r="AO12" s="2">
        <v>2</v>
      </c>
      <c r="AP12" s="2">
        <v>12</v>
      </c>
      <c r="AQ12" s="2">
        <v>2</v>
      </c>
      <c r="AR12" s="2">
        <v>2</v>
      </c>
      <c r="AS12" s="2">
        <v>2</v>
      </c>
      <c r="AT12" s="2">
        <v>2</v>
      </c>
      <c r="AU12" s="2">
        <v>2</v>
      </c>
      <c r="AV12" s="2">
        <v>2</v>
      </c>
      <c r="AW12" s="2">
        <v>12</v>
      </c>
      <c r="AX12" s="2">
        <v>0</v>
      </c>
      <c r="AY12" s="2">
        <v>2</v>
      </c>
      <c r="AZ12" s="2" t="s">
        <v>68</v>
      </c>
      <c r="BA12" s="2">
        <v>0</v>
      </c>
      <c r="BB12" s="2">
        <v>3</v>
      </c>
      <c r="BC12" s="2" t="s">
        <v>110</v>
      </c>
      <c r="BD12" s="2" t="s">
        <v>110</v>
      </c>
      <c r="BE12" s="3">
        <v>0.34375</v>
      </c>
      <c r="BF12" s="2" t="s">
        <v>71</v>
      </c>
      <c r="BG12" s="3">
        <v>0.1423611111111111</v>
      </c>
      <c r="BH12" s="2" t="s">
        <v>72</v>
      </c>
      <c r="BI12" s="2" t="s">
        <v>116</v>
      </c>
    </row>
    <row r="13" spans="1:61" s="2" customFormat="1" hidden="1" x14ac:dyDescent="0.2">
      <c r="A13" t="s">
        <v>176</v>
      </c>
      <c r="B13" t="s">
        <v>202</v>
      </c>
      <c r="C13">
        <v>12</v>
      </c>
      <c r="D13">
        <v>0.89</v>
      </c>
      <c r="E13">
        <v>2.1</v>
      </c>
      <c r="F13">
        <v>2.17</v>
      </c>
      <c r="G13">
        <f>SUM(D13*4,E13*3,F13*2)</f>
        <v>14.200000000000001</v>
      </c>
      <c r="H13"/>
      <c r="I13" t="s">
        <v>203</v>
      </c>
      <c r="J13" t="s">
        <v>62</v>
      </c>
      <c r="K13" t="s">
        <v>63</v>
      </c>
      <c r="L13" t="s">
        <v>64</v>
      </c>
      <c r="M13" t="s">
        <v>204</v>
      </c>
      <c r="N13">
        <v>3600</v>
      </c>
      <c r="O13" t="s">
        <v>95</v>
      </c>
      <c r="P13" t="s">
        <v>67</v>
      </c>
      <c r="Q13" t="s">
        <v>67</v>
      </c>
      <c r="R13" t="s">
        <v>67</v>
      </c>
      <c r="S13" t="s">
        <v>68</v>
      </c>
      <c r="T13" t="s">
        <v>67</v>
      </c>
      <c r="U13">
        <v>19</v>
      </c>
      <c r="V13">
        <v>1</v>
      </c>
      <c r="W13">
        <v>1</v>
      </c>
      <c r="X13">
        <v>1</v>
      </c>
      <c r="Y13" t="s">
        <v>205</v>
      </c>
      <c r="Z13" t="s">
        <v>67</v>
      </c>
      <c r="AA13">
        <v>33</v>
      </c>
      <c r="AB13">
        <v>39</v>
      </c>
      <c r="AC13">
        <v>89</v>
      </c>
      <c r="AD13">
        <v>97</v>
      </c>
      <c r="AE13">
        <v>41</v>
      </c>
      <c r="AF13">
        <v>78</v>
      </c>
      <c r="AG13">
        <v>34</v>
      </c>
      <c r="AH13">
        <v>33</v>
      </c>
      <c r="AI13">
        <v>33</v>
      </c>
      <c r="AJ13">
        <v>3</v>
      </c>
      <c r="AK13">
        <v>2</v>
      </c>
      <c r="AL13">
        <v>2</v>
      </c>
      <c r="AM13">
        <v>3</v>
      </c>
      <c r="AN13">
        <v>3</v>
      </c>
      <c r="AO13">
        <v>3</v>
      </c>
      <c r="AP13">
        <v>16</v>
      </c>
      <c r="AQ13">
        <v>3</v>
      </c>
      <c r="AR13">
        <v>3</v>
      </c>
      <c r="AS13">
        <v>2</v>
      </c>
      <c r="AT13">
        <v>2</v>
      </c>
      <c r="AU13">
        <v>3</v>
      </c>
      <c r="AV13">
        <v>3</v>
      </c>
      <c r="AW13">
        <v>16</v>
      </c>
      <c r="AX13">
        <v>0</v>
      </c>
      <c r="AY13">
        <v>1</v>
      </c>
      <c r="AZ13" t="s">
        <v>68</v>
      </c>
      <c r="BA13">
        <v>2</v>
      </c>
      <c r="BB13">
        <v>2</v>
      </c>
      <c r="BC13" t="s">
        <v>68</v>
      </c>
      <c r="BD13" t="s">
        <v>68</v>
      </c>
      <c r="BE13" s="1">
        <v>0.34027777777777779</v>
      </c>
      <c r="BF13" t="s">
        <v>71</v>
      </c>
      <c r="BG13" s="1">
        <v>0.125</v>
      </c>
      <c r="BH13" t="s">
        <v>72</v>
      </c>
      <c r="BI13" t="s">
        <v>206</v>
      </c>
    </row>
    <row r="14" spans="1:61" x14ac:dyDescent="0.2">
      <c r="A14" s="2" t="s">
        <v>59</v>
      </c>
      <c r="B14" s="2" t="s">
        <v>92</v>
      </c>
      <c r="C14" s="2">
        <v>11</v>
      </c>
      <c r="D14" s="2">
        <v>1.04</v>
      </c>
      <c r="E14" s="2">
        <v>2</v>
      </c>
      <c r="F14" s="2">
        <v>2</v>
      </c>
      <c r="G14">
        <f>SUM(D14*4,E14*3,F14*2)</f>
        <v>14.16</v>
      </c>
      <c r="H14" t="s">
        <v>236</v>
      </c>
      <c r="I14" s="2" t="s">
        <v>93</v>
      </c>
      <c r="J14" s="2" t="s">
        <v>62</v>
      </c>
      <c r="K14" s="2" t="s">
        <v>63</v>
      </c>
      <c r="L14" s="2" t="s">
        <v>94</v>
      </c>
      <c r="M14" s="2" t="s">
        <v>65</v>
      </c>
      <c r="N14" s="2">
        <v>1900</v>
      </c>
      <c r="O14" s="2" t="s">
        <v>95</v>
      </c>
      <c r="P14" s="2" t="s">
        <v>67</v>
      </c>
      <c r="Q14" s="2" t="s">
        <v>96</v>
      </c>
      <c r="R14" s="2" t="s">
        <v>67</v>
      </c>
      <c r="S14" s="2" t="s">
        <v>68</v>
      </c>
      <c r="T14" s="2" t="s">
        <v>67</v>
      </c>
      <c r="U14" s="2">
        <v>30</v>
      </c>
      <c r="V14" s="2">
        <v>1</v>
      </c>
      <c r="W14" s="2">
        <v>2</v>
      </c>
      <c r="X14" s="2">
        <v>1</v>
      </c>
      <c r="Y14" s="2" t="s">
        <v>97</v>
      </c>
      <c r="Z14" s="2"/>
      <c r="AA14" s="2">
        <v>57</v>
      </c>
      <c r="AB14" s="2">
        <v>60</v>
      </c>
      <c r="AC14" s="2">
        <v>100</v>
      </c>
      <c r="AD14" s="2">
        <v>100</v>
      </c>
      <c r="AE14" s="2">
        <v>52</v>
      </c>
      <c r="AF14" s="2">
        <v>83</v>
      </c>
      <c r="AG14" s="2">
        <v>23</v>
      </c>
      <c r="AH14" s="2">
        <v>15</v>
      </c>
      <c r="AI14" s="2">
        <v>62</v>
      </c>
      <c r="AJ14" s="2">
        <v>5</v>
      </c>
      <c r="AK14" s="2">
        <v>5</v>
      </c>
      <c r="AL14" s="2">
        <v>5</v>
      </c>
      <c r="AM14" s="2">
        <v>5</v>
      </c>
      <c r="AN14" s="2">
        <v>5</v>
      </c>
      <c r="AO14" s="2">
        <v>5</v>
      </c>
      <c r="AP14" s="2">
        <v>30</v>
      </c>
      <c r="AQ14" s="2">
        <v>5</v>
      </c>
      <c r="AR14" s="2">
        <v>5</v>
      </c>
      <c r="AS14" s="2">
        <v>5</v>
      </c>
      <c r="AT14" s="2">
        <v>5</v>
      </c>
      <c r="AU14" s="2">
        <v>5</v>
      </c>
      <c r="AV14" s="2">
        <v>5</v>
      </c>
      <c r="AW14" s="2">
        <v>30</v>
      </c>
      <c r="AX14" s="2">
        <v>0</v>
      </c>
      <c r="AY14" s="2">
        <v>2</v>
      </c>
      <c r="AZ14" s="2" t="s">
        <v>68</v>
      </c>
      <c r="BA14" s="2">
        <v>0</v>
      </c>
      <c r="BB14" s="2">
        <v>3</v>
      </c>
      <c r="BC14" s="2" t="s">
        <v>68</v>
      </c>
      <c r="BD14" s="2" t="s">
        <v>68</v>
      </c>
      <c r="BE14" s="3">
        <v>0.3576388888888889</v>
      </c>
      <c r="BF14" s="2" t="s">
        <v>71</v>
      </c>
      <c r="BG14" s="3">
        <v>0.14583333333333334</v>
      </c>
      <c r="BH14" s="2" t="s">
        <v>72</v>
      </c>
      <c r="BI14" s="2" t="s">
        <v>98</v>
      </c>
    </row>
    <row r="15" spans="1:61" s="2" customFormat="1" x14ac:dyDescent="0.2">
      <c r="A15" s="2" t="s">
        <v>59</v>
      </c>
      <c r="B15" s="2" t="s">
        <v>74</v>
      </c>
      <c r="C15" s="2">
        <v>11</v>
      </c>
      <c r="D15" s="2">
        <v>0.8</v>
      </c>
      <c r="E15" s="2">
        <v>2.17</v>
      </c>
      <c r="F15" s="2">
        <v>2.17</v>
      </c>
      <c r="G15" s="2">
        <f>SUM(D15*4,E15*3,F15*2)</f>
        <v>14.05</v>
      </c>
      <c r="H15" s="2" t="s">
        <v>236</v>
      </c>
      <c r="I15" s="2" t="s">
        <v>75</v>
      </c>
      <c r="J15" s="2" t="s">
        <v>62</v>
      </c>
      <c r="K15" s="2" t="s">
        <v>63</v>
      </c>
      <c r="L15" s="2" t="s">
        <v>64</v>
      </c>
      <c r="M15" s="2" t="s">
        <v>76</v>
      </c>
      <c r="N15" s="2">
        <v>4948</v>
      </c>
      <c r="O15" s="2" t="s">
        <v>77</v>
      </c>
      <c r="P15" s="2" t="s">
        <v>67</v>
      </c>
      <c r="Q15" s="2" t="s">
        <v>67</v>
      </c>
      <c r="R15" s="2" t="s">
        <v>67</v>
      </c>
      <c r="S15" s="2" t="s">
        <v>67</v>
      </c>
      <c r="T15" s="2" t="s">
        <v>68</v>
      </c>
      <c r="U15" s="2">
        <v>18</v>
      </c>
      <c r="V15" s="2">
        <v>1</v>
      </c>
      <c r="W15" s="2">
        <v>1</v>
      </c>
      <c r="X15" s="2">
        <v>1</v>
      </c>
      <c r="Y15" s="2" t="s">
        <v>78</v>
      </c>
      <c r="Z15" s="2" t="s">
        <v>67</v>
      </c>
      <c r="AA15" s="2">
        <v>36</v>
      </c>
      <c r="AB15" s="2">
        <v>39</v>
      </c>
      <c r="AC15" s="2">
        <v>100</v>
      </c>
      <c r="AD15" s="2">
        <v>100</v>
      </c>
      <c r="AE15" s="2">
        <v>37</v>
      </c>
      <c r="AF15" s="2">
        <v>80</v>
      </c>
      <c r="AG15" s="2">
        <v>18</v>
      </c>
      <c r="AH15" s="2">
        <v>16</v>
      </c>
      <c r="AI15" s="2">
        <v>66</v>
      </c>
      <c r="AJ15" s="2">
        <v>3</v>
      </c>
      <c r="AK15" s="2">
        <v>3</v>
      </c>
      <c r="AL15" s="2">
        <v>3</v>
      </c>
      <c r="AM15" s="2">
        <v>3</v>
      </c>
      <c r="AN15" s="2">
        <v>3</v>
      </c>
      <c r="AO15" s="2">
        <v>3</v>
      </c>
      <c r="AP15" s="2">
        <v>18</v>
      </c>
      <c r="AQ15" s="2">
        <v>3</v>
      </c>
      <c r="AR15" s="2">
        <v>3</v>
      </c>
      <c r="AS15" s="2">
        <v>3</v>
      </c>
      <c r="AT15" s="2">
        <v>3</v>
      </c>
      <c r="AU15" s="2">
        <v>3</v>
      </c>
      <c r="AV15" s="2">
        <v>3</v>
      </c>
      <c r="AW15" s="2">
        <v>18</v>
      </c>
      <c r="AX15" s="2">
        <v>2</v>
      </c>
      <c r="AY15" s="2">
        <v>2</v>
      </c>
      <c r="AZ15" s="2" t="s">
        <v>68</v>
      </c>
      <c r="BA15" s="2">
        <v>2</v>
      </c>
      <c r="BB15" s="2">
        <v>2</v>
      </c>
      <c r="BC15" s="2" t="s">
        <v>68</v>
      </c>
      <c r="BD15" s="2" t="s">
        <v>68</v>
      </c>
      <c r="BE15" s="3">
        <v>0.35069444444444442</v>
      </c>
      <c r="BF15" s="2" t="s">
        <v>71</v>
      </c>
      <c r="BG15" s="3">
        <v>0.1423611111111111</v>
      </c>
      <c r="BH15" s="2" t="s">
        <v>72</v>
      </c>
      <c r="BI15" s="2" t="s">
        <v>79</v>
      </c>
    </row>
    <row r="16" spans="1:61" s="2" customFormat="1" x14ac:dyDescent="0.2">
      <c r="A16" t="s">
        <v>176</v>
      </c>
      <c r="B16" t="s">
        <v>207</v>
      </c>
      <c r="C16">
        <v>12</v>
      </c>
      <c r="D16">
        <v>0.9</v>
      </c>
      <c r="E16">
        <v>2.09</v>
      </c>
      <c r="F16">
        <v>2.09</v>
      </c>
      <c r="G16">
        <f>SUM(D16*4,E16*3,F16*2)</f>
        <v>14.049999999999999</v>
      </c>
      <c r="H16"/>
      <c r="I16" t="s">
        <v>208</v>
      </c>
      <c r="J16" t="s">
        <v>62</v>
      </c>
      <c r="K16" t="s">
        <v>63</v>
      </c>
      <c r="L16" t="s">
        <v>64</v>
      </c>
      <c r="M16" t="s">
        <v>76</v>
      </c>
      <c r="N16">
        <v>2212</v>
      </c>
      <c r="O16" t="s">
        <v>107</v>
      </c>
      <c r="P16" t="s">
        <v>67</v>
      </c>
      <c r="Q16" t="s">
        <v>67</v>
      </c>
      <c r="R16" t="s">
        <v>67</v>
      </c>
      <c r="S16" t="s">
        <v>67</v>
      </c>
      <c r="T16" t="s">
        <v>68</v>
      </c>
      <c r="U16">
        <v>16</v>
      </c>
      <c r="V16">
        <v>2</v>
      </c>
      <c r="W16">
        <v>3</v>
      </c>
      <c r="X16">
        <v>1</v>
      </c>
      <c r="Y16" t="s">
        <v>209</v>
      </c>
      <c r="Z16" t="s">
        <v>67</v>
      </c>
      <c r="AA16">
        <v>24</v>
      </c>
      <c r="AB16">
        <v>28</v>
      </c>
      <c r="AC16">
        <v>82</v>
      </c>
      <c r="AD16">
        <v>100</v>
      </c>
      <c r="AE16">
        <v>43</v>
      </c>
      <c r="AF16">
        <v>64</v>
      </c>
      <c r="AG16">
        <v>22</v>
      </c>
      <c r="AH16">
        <v>26</v>
      </c>
      <c r="AI16">
        <v>52</v>
      </c>
      <c r="AJ16">
        <v>2</v>
      </c>
      <c r="AK16">
        <v>1</v>
      </c>
      <c r="AL16">
        <v>2</v>
      </c>
      <c r="AM16">
        <v>2</v>
      </c>
      <c r="AN16">
        <v>2</v>
      </c>
      <c r="AO16">
        <v>2</v>
      </c>
      <c r="AP16">
        <v>11</v>
      </c>
      <c r="AQ16">
        <v>2</v>
      </c>
      <c r="AR16">
        <v>2</v>
      </c>
      <c r="AS16">
        <v>1</v>
      </c>
      <c r="AT16">
        <v>2</v>
      </c>
      <c r="AU16">
        <v>2</v>
      </c>
      <c r="AV16">
        <v>2</v>
      </c>
      <c r="AW16">
        <v>11</v>
      </c>
      <c r="AX16">
        <v>0</v>
      </c>
      <c r="AY16">
        <v>0</v>
      </c>
      <c r="AZ16" t="s">
        <v>68</v>
      </c>
      <c r="BA16">
        <v>0</v>
      </c>
      <c r="BB16">
        <v>2</v>
      </c>
      <c r="BC16" t="s">
        <v>110</v>
      </c>
      <c r="BD16" t="s">
        <v>68</v>
      </c>
      <c r="BE16" s="1">
        <v>0.33333333333333331</v>
      </c>
      <c r="BF16" t="s">
        <v>71</v>
      </c>
      <c r="BG16" s="1">
        <v>0.13541666666666666</v>
      </c>
      <c r="BH16" t="s">
        <v>72</v>
      </c>
      <c r="BI16" t="s">
        <v>210</v>
      </c>
    </row>
    <row r="17" spans="1:61" x14ac:dyDescent="0.2">
      <c r="A17" s="2" t="s">
        <v>59</v>
      </c>
      <c r="B17" s="2" t="s">
        <v>121</v>
      </c>
      <c r="C17" s="2">
        <v>11</v>
      </c>
      <c r="D17" s="2">
        <v>0.82</v>
      </c>
      <c r="E17" s="2">
        <v>2.1</v>
      </c>
      <c r="F17" s="2">
        <v>2.1</v>
      </c>
      <c r="G17">
        <f>SUM(D17*4,E17*3,F17*2)</f>
        <v>13.780000000000001</v>
      </c>
      <c r="H17" s="2" t="s">
        <v>236</v>
      </c>
      <c r="I17" s="2" t="s">
        <v>122</v>
      </c>
      <c r="J17" s="2" t="s">
        <v>62</v>
      </c>
      <c r="K17" s="2" t="s">
        <v>63</v>
      </c>
      <c r="L17" s="2" t="s">
        <v>64</v>
      </c>
      <c r="M17" s="2" t="s">
        <v>101</v>
      </c>
      <c r="N17" s="2">
        <v>1300</v>
      </c>
      <c r="O17" s="2" t="s">
        <v>95</v>
      </c>
      <c r="P17" s="2" t="s">
        <v>67</v>
      </c>
      <c r="Q17" s="2" t="s">
        <v>67</v>
      </c>
      <c r="R17" s="2" t="s">
        <v>67</v>
      </c>
      <c r="S17" s="2" t="s">
        <v>68</v>
      </c>
      <c r="T17" s="2" t="s">
        <v>67</v>
      </c>
      <c r="U17" s="2">
        <v>24</v>
      </c>
      <c r="V17" s="2">
        <v>1</v>
      </c>
      <c r="W17" s="2">
        <v>1</v>
      </c>
      <c r="X17" s="2">
        <v>1</v>
      </c>
      <c r="Y17" s="2" t="s">
        <v>123</v>
      </c>
      <c r="Z17" s="2" t="s">
        <v>124</v>
      </c>
      <c r="AA17" s="2">
        <v>43</v>
      </c>
      <c r="AB17" s="2">
        <v>44</v>
      </c>
      <c r="AC17" s="2">
        <v>100</v>
      </c>
      <c r="AD17" s="2">
        <v>100</v>
      </c>
      <c r="AE17" s="2">
        <v>39</v>
      </c>
      <c r="AF17" s="2">
        <v>60</v>
      </c>
      <c r="AG17" s="2">
        <v>11</v>
      </c>
      <c r="AH17" s="2">
        <v>25</v>
      </c>
      <c r="AI17" s="2">
        <v>64</v>
      </c>
      <c r="AJ17" s="2">
        <v>3</v>
      </c>
      <c r="AK17" s="2">
        <v>3</v>
      </c>
      <c r="AL17" s="2">
        <v>4</v>
      </c>
      <c r="AM17" s="2">
        <v>4</v>
      </c>
      <c r="AN17" s="2">
        <v>4</v>
      </c>
      <c r="AO17" s="2">
        <v>4</v>
      </c>
      <c r="AP17" s="2">
        <v>22</v>
      </c>
      <c r="AQ17" s="2">
        <v>3</v>
      </c>
      <c r="AR17" s="2">
        <v>3</v>
      </c>
      <c r="AS17" s="2">
        <v>3</v>
      </c>
      <c r="AT17" s="2">
        <v>4</v>
      </c>
      <c r="AU17" s="2">
        <v>4</v>
      </c>
      <c r="AV17" s="2">
        <v>4</v>
      </c>
      <c r="AW17" s="2">
        <v>21</v>
      </c>
      <c r="AX17" s="2">
        <v>0</v>
      </c>
      <c r="AY17" s="2">
        <v>2</v>
      </c>
      <c r="AZ17" s="2" t="s">
        <v>68</v>
      </c>
      <c r="BA17" s="2">
        <v>0</v>
      </c>
      <c r="BB17" s="2">
        <v>3</v>
      </c>
      <c r="BC17" s="2" t="s">
        <v>68</v>
      </c>
      <c r="BD17" s="2" t="s">
        <v>68</v>
      </c>
      <c r="BE17" s="3">
        <v>0.3263888888888889</v>
      </c>
      <c r="BF17" s="2" t="s">
        <v>71</v>
      </c>
      <c r="BG17" s="3">
        <v>0.125</v>
      </c>
      <c r="BH17" s="2" t="s">
        <v>72</v>
      </c>
      <c r="BI17" s="2" t="s">
        <v>125</v>
      </c>
    </row>
    <row r="18" spans="1:61" x14ac:dyDescent="0.2">
      <c r="A18" t="s">
        <v>59</v>
      </c>
      <c r="B18" t="s">
        <v>117</v>
      </c>
      <c r="C18">
        <v>11</v>
      </c>
      <c r="D18">
        <v>0.86</v>
      </c>
      <c r="E18">
        <v>2.06</v>
      </c>
      <c r="F18">
        <v>2.06</v>
      </c>
      <c r="G18">
        <f>SUM(D18*4,E18*3,F18*2)</f>
        <v>13.739999999999998</v>
      </c>
      <c r="I18" t="s">
        <v>118</v>
      </c>
      <c r="J18" t="s">
        <v>62</v>
      </c>
      <c r="K18" t="s">
        <v>63</v>
      </c>
      <c r="L18" t="s">
        <v>64</v>
      </c>
      <c r="M18" t="s">
        <v>101</v>
      </c>
      <c r="N18">
        <v>4700</v>
      </c>
      <c r="O18" t="s">
        <v>77</v>
      </c>
      <c r="P18" t="s">
        <v>67</v>
      </c>
      <c r="Q18" t="s">
        <v>67</v>
      </c>
      <c r="R18" t="s">
        <v>67</v>
      </c>
      <c r="S18" t="s">
        <v>68</v>
      </c>
      <c r="T18" t="s">
        <v>67</v>
      </c>
      <c r="U18">
        <v>18</v>
      </c>
      <c r="V18">
        <v>1</v>
      </c>
      <c r="W18">
        <v>1</v>
      </c>
      <c r="X18">
        <v>1</v>
      </c>
      <c r="Y18" t="s">
        <v>119</v>
      </c>
      <c r="AA18">
        <v>37</v>
      </c>
      <c r="AB18">
        <v>37</v>
      </c>
      <c r="AC18">
        <v>100</v>
      </c>
      <c r="AD18">
        <v>100</v>
      </c>
      <c r="AE18">
        <v>42</v>
      </c>
      <c r="AF18">
        <v>89</v>
      </c>
      <c r="AG18">
        <v>5</v>
      </c>
      <c r="AH18">
        <v>19</v>
      </c>
      <c r="AI18">
        <v>76</v>
      </c>
      <c r="AJ18">
        <v>3</v>
      </c>
      <c r="AK18">
        <v>3</v>
      </c>
      <c r="AL18">
        <v>3</v>
      </c>
      <c r="AM18">
        <v>3</v>
      </c>
      <c r="AN18">
        <v>3</v>
      </c>
      <c r="AO18">
        <v>3</v>
      </c>
      <c r="AP18">
        <v>18</v>
      </c>
      <c r="AQ18">
        <v>3</v>
      </c>
      <c r="AR18">
        <v>3</v>
      </c>
      <c r="AS18">
        <v>3</v>
      </c>
      <c r="AT18">
        <v>3</v>
      </c>
      <c r="AU18">
        <v>3</v>
      </c>
      <c r="AV18">
        <v>3</v>
      </c>
      <c r="AW18">
        <v>18</v>
      </c>
      <c r="AX18">
        <v>1</v>
      </c>
      <c r="AY18">
        <v>1</v>
      </c>
      <c r="AZ18" t="s">
        <v>68</v>
      </c>
      <c r="BA18">
        <v>2</v>
      </c>
      <c r="BB18">
        <v>2</v>
      </c>
      <c r="BC18" t="s">
        <v>110</v>
      </c>
      <c r="BD18" t="s">
        <v>68</v>
      </c>
      <c r="BE18" s="1">
        <v>0.34375</v>
      </c>
      <c r="BF18" t="s">
        <v>71</v>
      </c>
      <c r="BG18" s="1">
        <v>0.13541666666666666</v>
      </c>
      <c r="BH18" t="s">
        <v>72</v>
      </c>
      <c r="BI18" t="s">
        <v>120</v>
      </c>
    </row>
    <row r="19" spans="1:61" s="4" customFormat="1" x14ac:dyDescent="0.2">
      <c r="A19" s="4" t="s">
        <v>139</v>
      </c>
      <c r="B19" s="4" t="s">
        <v>161</v>
      </c>
      <c r="C19" s="4">
        <v>18</v>
      </c>
      <c r="D19" s="4">
        <v>0.9</v>
      </c>
      <c r="E19" s="4">
        <v>2</v>
      </c>
      <c r="F19" s="4">
        <v>2</v>
      </c>
      <c r="G19" s="4">
        <f>SUM(D19*4,E19*3,F19*2)</f>
        <v>13.6</v>
      </c>
      <c r="I19" s="4" t="s">
        <v>162</v>
      </c>
      <c r="J19" t="s">
        <v>62</v>
      </c>
      <c r="K19" t="s">
        <v>63</v>
      </c>
      <c r="L19" s="4" t="s">
        <v>64</v>
      </c>
      <c r="M19" s="4" t="s">
        <v>101</v>
      </c>
      <c r="N19" s="4">
        <v>5300</v>
      </c>
      <c r="O19" s="4" t="s">
        <v>77</v>
      </c>
      <c r="P19" s="4" t="s">
        <v>67</v>
      </c>
      <c r="Q19" s="4" t="s">
        <v>67</v>
      </c>
      <c r="R19" s="4" t="s">
        <v>67</v>
      </c>
      <c r="S19" s="4" t="s">
        <v>68</v>
      </c>
      <c r="T19" s="4" t="s">
        <v>68</v>
      </c>
      <c r="U19" s="4">
        <v>30</v>
      </c>
      <c r="V19" s="4">
        <v>1</v>
      </c>
      <c r="W19" s="4">
        <v>3</v>
      </c>
      <c r="X19" s="4">
        <v>1</v>
      </c>
      <c r="Y19" s="4" t="s">
        <v>163</v>
      </c>
      <c r="Z19" s="4" t="s">
        <v>164</v>
      </c>
      <c r="AA19" s="4">
        <v>58</v>
      </c>
      <c r="AB19" s="4">
        <v>60</v>
      </c>
      <c r="AC19" s="4">
        <v>100</v>
      </c>
      <c r="AD19" s="4">
        <v>100</v>
      </c>
      <c r="AE19" s="4">
        <v>45</v>
      </c>
      <c r="AF19" s="4">
        <v>63</v>
      </c>
      <c r="AG19" s="4">
        <v>15</v>
      </c>
      <c r="AH19" s="4">
        <v>25</v>
      </c>
      <c r="AI19" s="4">
        <v>60</v>
      </c>
      <c r="AJ19" s="4">
        <v>5</v>
      </c>
      <c r="AK19" s="4">
        <v>5</v>
      </c>
      <c r="AL19" s="4">
        <v>5</v>
      </c>
      <c r="AM19" s="4">
        <v>5</v>
      </c>
      <c r="AN19" s="4">
        <v>5</v>
      </c>
      <c r="AO19" s="4">
        <v>5</v>
      </c>
      <c r="AP19" s="4">
        <v>30</v>
      </c>
      <c r="AQ19" s="4">
        <v>5</v>
      </c>
      <c r="AR19" s="4">
        <v>5</v>
      </c>
      <c r="AS19" s="4">
        <v>5</v>
      </c>
      <c r="AT19" s="4">
        <v>5</v>
      </c>
      <c r="AU19" s="4">
        <v>5</v>
      </c>
      <c r="AV19" s="4">
        <v>5</v>
      </c>
      <c r="AW19" s="4">
        <v>30</v>
      </c>
      <c r="AX19" s="4">
        <v>0</v>
      </c>
      <c r="AY19" s="4">
        <v>3</v>
      </c>
      <c r="AZ19" s="4" t="s">
        <v>68</v>
      </c>
      <c r="BA19" s="4">
        <v>0</v>
      </c>
      <c r="BB19" s="4">
        <v>3</v>
      </c>
      <c r="BC19" s="4" t="s">
        <v>68</v>
      </c>
      <c r="BD19" s="4" t="s">
        <v>68</v>
      </c>
      <c r="BE19" s="5">
        <v>0.3263888888888889</v>
      </c>
      <c r="BF19" s="4" t="s">
        <v>71</v>
      </c>
      <c r="BG19" s="5">
        <v>0.13194444444444445</v>
      </c>
      <c r="BH19" s="4" t="s">
        <v>72</v>
      </c>
      <c r="BI19" s="4" t="s">
        <v>165</v>
      </c>
    </row>
    <row r="20" spans="1:61" x14ac:dyDescent="0.2">
      <c r="A20" t="s">
        <v>59</v>
      </c>
      <c r="B20" t="s">
        <v>80</v>
      </c>
      <c r="C20">
        <v>11</v>
      </c>
      <c r="D20">
        <v>0.78</v>
      </c>
      <c r="E20">
        <v>2.06</v>
      </c>
      <c r="F20">
        <v>2.06</v>
      </c>
      <c r="G20">
        <f>SUM(D20*4,E20*3,F20*2)</f>
        <v>13.420000000000002</v>
      </c>
      <c r="I20" t="s">
        <v>81</v>
      </c>
      <c r="J20" t="s">
        <v>62</v>
      </c>
      <c r="K20" t="s">
        <v>63</v>
      </c>
      <c r="L20" t="s">
        <v>64</v>
      </c>
      <c r="M20" t="s">
        <v>65</v>
      </c>
      <c r="N20">
        <v>4000</v>
      </c>
      <c r="O20" t="s">
        <v>77</v>
      </c>
      <c r="P20" t="s">
        <v>67</v>
      </c>
      <c r="Q20" t="s">
        <v>67</v>
      </c>
      <c r="R20" t="s">
        <v>67</v>
      </c>
      <c r="S20" t="s">
        <v>68</v>
      </c>
      <c r="T20" t="s">
        <v>68</v>
      </c>
      <c r="U20">
        <v>18</v>
      </c>
      <c r="V20">
        <v>1</v>
      </c>
      <c r="W20">
        <v>1</v>
      </c>
      <c r="X20">
        <v>1</v>
      </c>
      <c r="Y20" t="s">
        <v>82</v>
      </c>
      <c r="Z20" t="s">
        <v>83</v>
      </c>
      <c r="AA20">
        <v>37</v>
      </c>
      <c r="AB20">
        <v>37</v>
      </c>
      <c r="AC20">
        <v>100</v>
      </c>
      <c r="AD20">
        <v>100</v>
      </c>
      <c r="AE20">
        <v>38</v>
      </c>
      <c r="AF20">
        <v>75</v>
      </c>
      <c r="AG20">
        <v>11</v>
      </c>
      <c r="AH20">
        <v>19</v>
      </c>
      <c r="AI20">
        <v>70</v>
      </c>
      <c r="AJ20">
        <v>3</v>
      </c>
      <c r="AK20">
        <v>3</v>
      </c>
      <c r="AL20">
        <v>3</v>
      </c>
      <c r="AM20">
        <v>3</v>
      </c>
      <c r="AN20">
        <v>3</v>
      </c>
      <c r="AO20">
        <v>3</v>
      </c>
      <c r="AP20">
        <v>18</v>
      </c>
      <c r="AQ20">
        <v>3</v>
      </c>
      <c r="AR20">
        <v>3</v>
      </c>
      <c r="AS20">
        <v>3</v>
      </c>
      <c r="AT20">
        <v>3</v>
      </c>
      <c r="AU20">
        <v>3</v>
      </c>
      <c r="AV20">
        <v>3</v>
      </c>
      <c r="AW20">
        <v>18</v>
      </c>
      <c r="AX20">
        <v>0</v>
      </c>
      <c r="AY20">
        <v>2</v>
      </c>
      <c r="AZ20" t="s">
        <v>68</v>
      </c>
      <c r="BA20">
        <v>0</v>
      </c>
      <c r="BB20">
        <v>3</v>
      </c>
      <c r="BC20" t="s">
        <v>68</v>
      </c>
      <c r="BD20" t="s">
        <v>68</v>
      </c>
      <c r="BE20" s="1">
        <v>0.34375</v>
      </c>
      <c r="BF20" t="s">
        <v>71</v>
      </c>
      <c r="BG20" s="1">
        <v>0.14583333333333334</v>
      </c>
      <c r="BH20" t="s">
        <v>72</v>
      </c>
      <c r="BI20" t="s">
        <v>84</v>
      </c>
    </row>
    <row r="21" spans="1:61" x14ac:dyDescent="0.2">
      <c r="A21" t="s">
        <v>139</v>
      </c>
      <c r="B21" t="s">
        <v>166</v>
      </c>
      <c r="C21">
        <v>18</v>
      </c>
      <c r="D21">
        <v>0.73</v>
      </c>
      <c r="E21">
        <v>1.72</v>
      </c>
      <c r="F21">
        <v>2.5299999999999998</v>
      </c>
      <c r="G21">
        <f>SUM(D21*4,E21*3,F21*2)</f>
        <v>13.14</v>
      </c>
      <c r="I21" t="s">
        <v>167</v>
      </c>
      <c r="J21" t="s">
        <v>62</v>
      </c>
      <c r="K21" t="s">
        <v>63</v>
      </c>
      <c r="L21" t="s">
        <v>64</v>
      </c>
      <c r="M21" t="s">
        <v>76</v>
      </c>
      <c r="N21">
        <v>5000</v>
      </c>
      <c r="O21" t="s">
        <v>107</v>
      </c>
      <c r="P21" t="s">
        <v>67</v>
      </c>
      <c r="Q21" t="s">
        <v>67</v>
      </c>
      <c r="R21" t="s">
        <v>67</v>
      </c>
      <c r="S21" t="s">
        <v>68</v>
      </c>
      <c r="T21" t="s">
        <v>67</v>
      </c>
      <c r="U21">
        <v>24</v>
      </c>
      <c r="V21">
        <v>1</v>
      </c>
      <c r="W21">
        <v>2</v>
      </c>
      <c r="X21">
        <v>1</v>
      </c>
      <c r="Y21" t="s">
        <v>168</v>
      </c>
      <c r="Z21" t="s">
        <v>169</v>
      </c>
      <c r="AA21">
        <v>32</v>
      </c>
      <c r="AB21">
        <v>37</v>
      </c>
      <c r="AC21">
        <v>89</v>
      </c>
      <c r="AD21">
        <v>68</v>
      </c>
      <c r="AE21">
        <v>29</v>
      </c>
      <c r="AF21">
        <v>65</v>
      </c>
      <c r="AG21">
        <v>32</v>
      </c>
      <c r="AH21">
        <v>30</v>
      </c>
      <c r="AI21">
        <v>38</v>
      </c>
      <c r="AJ21">
        <v>2</v>
      </c>
      <c r="AK21">
        <v>2</v>
      </c>
      <c r="AL21">
        <v>2</v>
      </c>
      <c r="AM21">
        <v>3</v>
      </c>
      <c r="AN21">
        <v>3</v>
      </c>
      <c r="AO21">
        <v>3</v>
      </c>
      <c r="AP21">
        <v>15</v>
      </c>
      <c r="AQ21">
        <v>1</v>
      </c>
      <c r="AR21">
        <v>2</v>
      </c>
      <c r="AS21">
        <v>2</v>
      </c>
      <c r="AT21">
        <v>2</v>
      </c>
      <c r="AU21">
        <v>3</v>
      </c>
      <c r="AV21">
        <v>3</v>
      </c>
      <c r="AW21">
        <v>13</v>
      </c>
      <c r="AX21">
        <v>0</v>
      </c>
      <c r="AY21">
        <v>0</v>
      </c>
      <c r="AZ21" t="s">
        <v>68</v>
      </c>
      <c r="BA21">
        <v>0</v>
      </c>
      <c r="BB21">
        <v>3</v>
      </c>
      <c r="BC21" t="s">
        <v>110</v>
      </c>
      <c r="BD21" t="s">
        <v>110</v>
      </c>
      <c r="BE21" s="1">
        <v>0.34027777777777779</v>
      </c>
      <c r="BF21" t="s">
        <v>71</v>
      </c>
      <c r="BG21" s="1">
        <v>0.14583333333333334</v>
      </c>
      <c r="BH21" t="s">
        <v>72</v>
      </c>
      <c r="BI21" t="s">
        <v>170</v>
      </c>
    </row>
    <row r="22" spans="1:61" s="2" customFormat="1" x14ac:dyDescent="0.2">
      <c r="A22" t="s">
        <v>139</v>
      </c>
      <c r="B22" t="s">
        <v>171</v>
      </c>
      <c r="C22">
        <v>18</v>
      </c>
      <c r="D22">
        <v>0.75</v>
      </c>
      <c r="E22">
        <v>1.99</v>
      </c>
      <c r="F22">
        <v>2.0699999999999998</v>
      </c>
      <c r="G22">
        <f>SUM(D22*4,E22*3,F22*2)</f>
        <v>13.11</v>
      </c>
      <c r="H22"/>
      <c r="I22" t="s">
        <v>172</v>
      </c>
      <c r="J22" t="s">
        <v>62</v>
      </c>
      <c r="K22" t="s">
        <v>63</v>
      </c>
      <c r="L22" t="s">
        <v>64</v>
      </c>
      <c r="M22" t="s">
        <v>65</v>
      </c>
      <c r="N22">
        <v>5300</v>
      </c>
      <c r="O22" t="s">
        <v>77</v>
      </c>
      <c r="P22" t="s">
        <v>67</v>
      </c>
      <c r="Q22" t="s">
        <v>142</v>
      </c>
      <c r="R22" t="s">
        <v>67</v>
      </c>
      <c r="S22" t="s">
        <v>68</v>
      </c>
      <c r="T22" t="s">
        <v>67</v>
      </c>
      <c r="U22">
        <v>30</v>
      </c>
      <c r="V22">
        <v>1</v>
      </c>
      <c r="W22">
        <v>3</v>
      </c>
      <c r="X22">
        <v>1</v>
      </c>
      <c r="Y22" t="s">
        <v>173</v>
      </c>
      <c r="Z22" t="s">
        <v>174</v>
      </c>
      <c r="AA22">
        <v>53</v>
      </c>
      <c r="AB22">
        <v>56</v>
      </c>
      <c r="AC22">
        <v>100</v>
      </c>
      <c r="AD22">
        <v>96</v>
      </c>
      <c r="AE22">
        <v>36</v>
      </c>
      <c r="AF22">
        <v>73</v>
      </c>
      <c r="AG22">
        <v>6</v>
      </c>
      <c r="AH22">
        <v>11</v>
      </c>
      <c r="AI22">
        <v>83</v>
      </c>
      <c r="AJ22">
        <v>4</v>
      </c>
      <c r="AK22">
        <v>4</v>
      </c>
      <c r="AL22">
        <v>5</v>
      </c>
      <c r="AM22">
        <v>5</v>
      </c>
      <c r="AN22">
        <v>5</v>
      </c>
      <c r="AO22">
        <v>5</v>
      </c>
      <c r="AP22">
        <v>28</v>
      </c>
      <c r="AQ22">
        <v>4</v>
      </c>
      <c r="AR22">
        <v>4</v>
      </c>
      <c r="AS22">
        <v>4</v>
      </c>
      <c r="AT22">
        <v>5</v>
      </c>
      <c r="AU22">
        <v>5</v>
      </c>
      <c r="AV22">
        <v>5</v>
      </c>
      <c r="AW22">
        <v>27</v>
      </c>
      <c r="AX22">
        <v>0</v>
      </c>
      <c r="AY22">
        <v>2</v>
      </c>
      <c r="AZ22" t="s">
        <v>68</v>
      </c>
      <c r="BA22">
        <v>0</v>
      </c>
      <c r="BB22">
        <v>3</v>
      </c>
      <c r="BC22" t="s">
        <v>68</v>
      </c>
      <c r="BD22" t="s">
        <v>68</v>
      </c>
      <c r="BE22" s="1">
        <v>0.34375</v>
      </c>
      <c r="BF22" t="s">
        <v>71</v>
      </c>
      <c r="BG22" s="1">
        <v>0.14583333333333334</v>
      </c>
      <c r="BH22" t="s">
        <v>72</v>
      </c>
      <c r="BI22" t="s">
        <v>175</v>
      </c>
    </row>
    <row r="23" spans="1:61" x14ac:dyDescent="0.2">
      <c r="A23" t="s">
        <v>176</v>
      </c>
      <c r="B23" t="s">
        <v>198</v>
      </c>
      <c r="C23">
        <v>12</v>
      </c>
      <c r="D23">
        <v>0.75</v>
      </c>
      <c r="E23">
        <v>1.94</v>
      </c>
      <c r="F23">
        <v>2.09</v>
      </c>
      <c r="G23">
        <f>SUM(D23*4,E23*3,F23*2)</f>
        <v>13</v>
      </c>
      <c r="I23" t="s">
        <v>199</v>
      </c>
      <c r="J23" t="s">
        <v>62</v>
      </c>
      <c r="K23" t="s">
        <v>63</v>
      </c>
      <c r="L23" t="s">
        <v>64</v>
      </c>
      <c r="M23" t="s">
        <v>76</v>
      </c>
      <c r="N23">
        <v>1000</v>
      </c>
      <c r="O23" t="s">
        <v>107</v>
      </c>
      <c r="P23" t="s">
        <v>67</v>
      </c>
      <c r="Q23" t="s">
        <v>67</v>
      </c>
      <c r="R23" t="s">
        <v>67</v>
      </c>
      <c r="S23" t="s">
        <v>68</v>
      </c>
      <c r="T23" t="s">
        <v>67</v>
      </c>
      <c r="U23">
        <v>12</v>
      </c>
      <c r="V23">
        <v>1</v>
      </c>
      <c r="W23">
        <v>1</v>
      </c>
      <c r="X23">
        <v>1</v>
      </c>
      <c r="Y23" t="s">
        <v>200</v>
      </c>
      <c r="Z23" t="s">
        <v>67</v>
      </c>
      <c r="AA23">
        <v>25</v>
      </c>
      <c r="AB23">
        <v>28</v>
      </c>
      <c r="AC23">
        <v>82</v>
      </c>
      <c r="AD23">
        <v>93</v>
      </c>
      <c r="AE23">
        <v>36</v>
      </c>
      <c r="AF23">
        <v>18</v>
      </c>
      <c r="AG23">
        <v>32</v>
      </c>
      <c r="AH23">
        <v>18</v>
      </c>
      <c r="AI23">
        <v>50</v>
      </c>
      <c r="AJ23">
        <v>2</v>
      </c>
      <c r="AK23">
        <v>1</v>
      </c>
      <c r="AL23">
        <v>2</v>
      </c>
      <c r="AM23">
        <v>2</v>
      </c>
      <c r="AN23">
        <v>2</v>
      </c>
      <c r="AO23">
        <v>2</v>
      </c>
      <c r="AP23">
        <v>11</v>
      </c>
      <c r="AQ23">
        <v>2</v>
      </c>
      <c r="AR23">
        <v>2</v>
      </c>
      <c r="AS23">
        <v>1</v>
      </c>
      <c r="AT23">
        <v>2</v>
      </c>
      <c r="AU23">
        <v>2</v>
      </c>
      <c r="AV23">
        <v>2</v>
      </c>
      <c r="AW23">
        <v>11</v>
      </c>
      <c r="AX23">
        <v>2</v>
      </c>
      <c r="AY23">
        <v>0</v>
      </c>
      <c r="AZ23" t="s">
        <v>68</v>
      </c>
      <c r="BA23">
        <v>4</v>
      </c>
      <c r="BB23">
        <v>0</v>
      </c>
      <c r="BC23" t="s">
        <v>68</v>
      </c>
      <c r="BD23" t="s">
        <v>68</v>
      </c>
      <c r="BE23" s="1">
        <v>0.34722222222222221</v>
      </c>
      <c r="BF23" t="s">
        <v>71</v>
      </c>
      <c r="BG23" s="1">
        <v>0.15625</v>
      </c>
      <c r="BH23" t="s">
        <v>72</v>
      </c>
      <c r="BI23" t="s">
        <v>201</v>
      </c>
    </row>
    <row r="24" spans="1:61" x14ac:dyDescent="0.2">
      <c r="A24" t="s">
        <v>176</v>
      </c>
      <c r="B24" t="s">
        <v>215</v>
      </c>
      <c r="C24">
        <v>12</v>
      </c>
      <c r="D24">
        <v>0.59</v>
      </c>
      <c r="E24">
        <v>2.12</v>
      </c>
      <c r="F24">
        <v>2.12</v>
      </c>
      <c r="G24">
        <f>SUM(D24*4,E24*3,F24*2)</f>
        <v>12.96</v>
      </c>
      <c r="I24" t="s">
        <v>216</v>
      </c>
      <c r="J24" t="s">
        <v>62</v>
      </c>
      <c r="K24" t="s">
        <v>63</v>
      </c>
      <c r="L24" t="s">
        <v>64</v>
      </c>
      <c r="M24" t="s">
        <v>76</v>
      </c>
      <c r="N24">
        <v>2000</v>
      </c>
      <c r="O24" t="s">
        <v>217</v>
      </c>
      <c r="P24" t="s">
        <v>67</v>
      </c>
      <c r="Q24" t="s">
        <v>67</v>
      </c>
      <c r="R24" t="s">
        <v>67</v>
      </c>
      <c r="S24" t="s">
        <v>67</v>
      </c>
      <c r="T24" t="s">
        <v>68</v>
      </c>
      <c r="U24">
        <v>18</v>
      </c>
      <c r="V24">
        <v>1</v>
      </c>
      <c r="W24">
        <v>1</v>
      </c>
      <c r="X24">
        <v>1</v>
      </c>
      <c r="Y24" t="s">
        <v>218</v>
      </c>
      <c r="Z24" t="s">
        <v>219</v>
      </c>
      <c r="AA24">
        <v>34</v>
      </c>
      <c r="AB24">
        <v>36</v>
      </c>
      <c r="AC24">
        <v>100</v>
      </c>
      <c r="AD24">
        <v>100</v>
      </c>
      <c r="AE24">
        <v>28</v>
      </c>
      <c r="AF24">
        <v>61</v>
      </c>
      <c r="AG24">
        <v>17</v>
      </c>
      <c r="AH24">
        <v>19</v>
      </c>
      <c r="AI24">
        <v>64</v>
      </c>
      <c r="AJ24">
        <v>3</v>
      </c>
      <c r="AK24">
        <v>2</v>
      </c>
      <c r="AL24">
        <v>3</v>
      </c>
      <c r="AM24">
        <v>3</v>
      </c>
      <c r="AN24">
        <v>3</v>
      </c>
      <c r="AO24">
        <v>3</v>
      </c>
      <c r="AP24">
        <v>17</v>
      </c>
      <c r="AQ24">
        <v>3</v>
      </c>
      <c r="AR24">
        <v>3</v>
      </c>
      <c r="AS24">
        <v>2</v>
      </c>
      <c r="AT24">
        <v>3</v>
      </c>
      <c r="AU24">
        <v>3</v>
      </c>
      <c r="AV24">
        <v>3</v>
      </c>
      <c r="AW24">
        <v>17</v>
      </c>
      <c r="AX24">
        <v>0</v>
      </c>
      <c r="AY24">
        <v>2</v>
      </c>
      <c r="AZ24" t="s">
        <v>68</v>
      </c>
      <c r="BA24">
        <v>0</v>
      </c>
      <c r="BB24">
        <v>3</v>
      </c>
      <c r="BC24" t="s">
        <v>68</v>
      </c>
      <c r="BD24" t="s">
        <v>68</v>
      </c>
      <c r="BE24" s="1">
        <v>0.34375</v>
      </c>
      <c r="BF24" t="s">
        <v>71</v>
      </c>
      <c r="BG24" s="1">
        <v>0.13541666666666666</v>
      </c>
      <c r="BH24" t="s">
        <v>72</v>
      </c>
      <c r="BI24" t="s">
        <v>220</v>
      </c>
    </row>
    <row r="25" spans="1:61" s="2" customFormat="1" x14ac:dyDescent="0.2">
      <c r="A25" t="s">
        <v>176</v>
      </c>
      <c r="B25" t="s">
        <v>182</v>
      </c>
      <c r="C25">
        <v>12</v>
      </c>
      <c r="D25">
        <v>0.55000000000000004</v>
      </c>
      <c r="E25">
        <v>2.11</v>
      </c>
      <c r="F25">
        <v>2.11</v>
      </c>
      <c r="G25">
        <f>SUM(D25*4,E25*3,F25*2)</f>
        <v>12.75</v>
      </c>
      <c r="H25"/>
      <c r="I25" t="s">
        <v>183</v>
      </c>
      <c r="J25" t="s">
        <v>87</v>
      </c>
      <c r="K25" t="s">
        <v>63</v>
      </c>
      <c r="L25" t="s">
        <v>64</v>
      </c>
      <c r="M25" t="s">
        <v>76</v>
      </c>
      <c r="N25">
        <v>6200</v>
      </c>
      <c r="O25" t="s">
        <v>66</v>
      </c>
      <c r="P25" t="s">
        <v>67</v>
      </c>
      <c r="Q25" t="s">
        <v>67</v>
      </c>
      <c r="R25" t="s">
        <v>184</v>
      </c>
      <c r="S25" t="s">
        <v>68</v>
      </c>
      <c r="T25" t="s">
        <v>67</v>
      </c>
      <c r="U25">
        <v>23</v>
      </c>
      <c r="V25">
        <v>1</v>
      </c>
      <c r="W25">
        <v>2</v>
      </c>
      <c r="X25">
        <v>1</v>
      </c>
      <c r="Y25" t="s">
        <v>185</v>
      </c>
      <c r="Z25" t="s">
        <v>154</v>
      </c>
      <c r="AA25">
        <v>34</v>
      </c>
      <c r="AB25">
        <v>38</v>
      </c>
      <c r="AC25">
        <v>100</v>
      </c>
      <c r="AD25">
        <v>100</v>
      </c>
      <c r="AE25">
        <v>26</v>
      </c>
      <c r="AF25">
        <v>82</v>
      </c>
      <c r="AG25">
        <v>0</v>
      </c>
      <c r="AH25">
        <v>18</v>
      </c>
      <c r="AI25">
        <v>82</v>
      </c>
      <c r="AJ25">
        <v>4</v>
      </c>
      <c r="AK25">
        <v>2</v>
      </c>
      <c r="AL25">
        <v>3</v>
      </c>
      <c r="AM25">
        <v>3</v>
      </c>
      <c r="AN25">
        <v>3</v>
      </c>
      <c r="AO25">
        <v>3</v>
      </c>
      <c r="AP25">
        <v>18</v>
      </c>
      <c r="AQ25">
        <v>3</v>
      </c>
      <c r="AR25">
        <v>4</v>
      </c>
      <c r="AS25">
        <v>2</v>
      </c>
      <c r="AT25">
        <v>3</v>
      </c>
      <c r="AU25">
        <v>3</v>
      </c>
      <c r="AV25">
        <v>3</v>
      </c>
      <c r="AW25">
        <v>18</v>
      </c>
      <c r="AX25">
        <v>0</v>
      </c>
      <c r="AY25">
        <v>1</v>
      </c>
      <c r="AZ25" t="s">
        <v>68</v>
      </c>
      <c r="BA25">
        <v>0</v>
      </c>
      <c r="BB25">
        <v>2</v>
      </c>
      <c r="BC25" t="s">
        <v>68</v>
      </c>
      <c r="BD25" t="s">
        <v>68</v>
      </c>
      <c r="BE25" s="1">
        <v>0.35069444444444442</v>
      </c>
      <c r="BF25" t="s">
        <v>71</v>
      </c>
      <c r="BG25" s="1">
        <v>0.13541666666666666</v>
      </c>
      <c r="BH25" t="s">
        <v>72</v>
      </c>
      <c r="BI25" t="s">
        <v>186</v>
      </c>
    </row>
    <row r="26" spans="1:61" s="2" customFormat="1" x14ac:dyDescent="0.2">
      <c r="A26" t="s">
        <v>139</v>
      </c>
      <c r="B26" t="s">
        <v>156</v>
      </c>
      <c r="C26">
        <v>18</v>
      </c>
      <c r="D26">
        <v>0.75</v>
      </c>
      <c r="E26">
        <v>1.92</v>
      </c>
      <c r="F26">
        <v>1.92</v>
      </c>
      <c r="G26">
        <f>SUM(D26*4,E26*3,F26*2)</f>
        <v>12.6</v>
      </c>
      <c r="H26"/>
      <c r="I26" t="s">
        <v>157</v>
      </c>
      <c r="J26" t="s">
        <v>87</v>
      </c>
      <c r="K26" t="s">
        <v>63</v>
      </c>
      <c r="L26" t="s">
        <v>64</v>
      </c>
      <c r="M26" t="s">
        <v>76</v>
      </c>
      <c r="N26">
        <v>4840</v>
      </c>
      <c r="O26" t="s">
        <v>77</v>
      </c>
      <c r="P26" t="s">
        <v>67</v>
      </c>
      <c r="Q26" t="s">
        <v>67</v>
      </c>
      <c r="R26" t="s">
        <v>158</v>
      </c>
      <c r="S26" t="s">
        <v>68</v>
      </c>
      <c r="T26" t="s">
        <v>67</v>
      </c>
      <c r="U26">
        <v>24</v>
      </c>
      <c r="V26">
        <v>1</v>
      </c>
      <c r="W26">
        <v>2</v>
      </c>
      <c r="X26">
        <v>1</v>
      </c>
      <c r="Y26" t="s">
        <v>159</v>
      </c>
      <c r="Z26" t="s">
        <v>90</v>
      </c>
      <c r="AA26">
        <v>44</v>
      </c>
      <c r="AB26">
        <v>46</v>
      </c>
      <c r="AC26">
        <v>100</v>
      </c>
      <c r="AD26">
        <v>100</v>
      </c>
      <c r="AE26">
        <v>39</v>
      </c>
      <c r="AF26">
        <v>86</v>
      </c>
      <c r="AG26">
        <v>6</v>
      </c>
      <c r="AH26">
        <v>20</v>
      </c>
      <c r="AI26">
        <v>74</v>
      </c>
      <c r="AJ26">
        <v>4</v>
      </c>
      <c r="AK26">
        <v>4</v>
      </c>
      <c r="AL26">
        <v>4</v>
      </c>
      <c r="AM26">
        <v>4</v>
      </c>
      <c r="AN26">
        <v>4</v>
      </c>
      <c r="AO26">
        <v>4</v>
      </c>
      <c r="AP26">
        <v>24</v>
      </c>
      <c r="AQ26">
        <v>4</v>
      </c>
      <c r="AR26">
        <v>4</v>
      </c>
      <c r="AS26">
        <v>4</v>
      </c>
      <c r="AT26">
        <v>4</v>
      </c>
      <c r="AU26">
        <v>4</v>
      </c>
      <c r="AV26">
        <v>4</v>
      </c>
      <c r="AW26">
        <v>24</v>
      </c>
      <c r="AX26">
        <v>1</v>
      </c>
      <c r="AY26">
        <v>1</v>
      </c>
      <c r="AZ26" t="s">
        <v>68</v>
      </c>
      <c r="BA26">
        <v>2</v>
      </c>
      <c r="BB26">
        <v>2</v>
      </c>
      <c r="BC26" t="s">
        <v>110</v>
      </c>
      <c r="BD26" t="s">
        <v>110</v>
      </c>
      <c r="BE26" s="1">
        <v>0.34722222222222221</v>
      </c>
      <c r="BF26" t="s">
        <v>71</v>
      </c>
      <c r="BG26" s="1">
        <v>0.1423611111111111</v>
      </c>
      <c r="BH26" t="s">
        <v>72</v>
      </c>
      <c r="BI26" t="s">
        <v>160</v>
      </c>
    </row>
    <row r="27" spans="1:61" x14ac:dyDescent="0.2">
      <c r="A27" t="s">
        <v>139</v>
      </c>
      <c r="B27" t="s">
        <v>146</v>
      </c>
      <c r="C27">
        <v>18</v>
      </c>
      <c r="D27">
        <v>0.77</v>
      </c>
      <c r="E27">
        <v>1.88</v>
      </c>
      <c r="F27">
        <v>1.88</v>
      </c>
      <c r="G27">
        <f>SUM(D27*4,E27*3,F27*2)</f>
        <v>12.479999999999999</v>
      </c>
      <c r="I27" t="s">
        <v>147</v>
      </c>
      <c r="J27" t="s">
        <v>62</v>
      </c>
      <c r="K27" t="s">
        <v>63</v>
      </c>
      <c r="L27" t="s">
        <v>64</v>
      </c>
      <c r="M27" t="s">
        <v>65</v>
      </c>
      <c r="N27">
        <v>9129</v>
      </c>
      <c r="O27" t="s">
        <v>77</v>
      </c>
      <c r="P27" t="s">
        <v>67</v>
      </c>
      <c r="Q27" t="s">
        <v>67</v>
      </c>
      <c r="R27" t="s">
        <v>67</v>
      </c>
      <c r="S27" t="s">
        <v>68</v>
      </c>
      <c r="T27" t="s">
        <v>67</v>
      </c>
      <c r="U27">
        <v>24</v>
      </c>
      <c r="V27">
        <v>1</v>
      </c>
      <c r="W27">
        <v>2</v>
      </c>
      <c r="X27">
        <v>1</v>
      </c>
      <c r="Y27" t="s">
        <v>148</v>
      </c>
      <c r="Z27" t="s">
        <v>149</v>
      </c>
      <c r="AA27">
        <v>45</v>
      </c>
      <c r="AB27">
        <v>45</v>
      </c>
      <c r="AC27">
        <v>100</v>
      </c>
      <c r="AD27">
        <v>100</v>
      </c>
      <c r="AE27">
        <v>41</v>
      </c>
      <c r="AF27">
        <v>87</v>
      </c>
      <c r="AG27">
        <v>11</v>
      </c>
      <c r="AH27">
        <v>28</v>
      </c>
      <c r="AI27">
        <v>61</v>
      </c>
      <c r="AJ27">
        <v>4</v>
      </c>
      <c r="AK27">
        <v>4</v>
      </c>
      <c r="AL27">
        <v>4</v>
      </c>
      <c r="AM27">
        <v>4</v>
      </c>
      <c r="AN27">
        <v>4</v>
      </c>
      <c r="AO27">
        <v>4</v>
      </c>
      <c r="AP27">
        <v>24</v>
      </c>
      <c r="AQ27">
        <v>4</v>
      </c>
      <c r="AR27">
        <v>4</v>
      </c>
      <c r="AS27">
        <v>4</v>
      </c>
      <c r="AT27">
        <v>4</v>
      </c>
      <c r="AU27">
        <v>4</v>
      </c>
      <c r="AV27">
        <v>4</v>
      </c>
      <c r="AW27">
        <v>24</v>
      </c>
      <c r="AX27">
        <v>1</v>
      </c>
      <c r="AY27">
        <v>1</v>
      </c>
      <c r="AZ27" t="s">
        <v>68</v>
      </c>
      <c r="BA27">
        <v>2</v>
      </c>
      <c r="BB27">
        <v>1</v>
      </c>
      <c r="BC27" t="s">
        <v>68</v>
      </c>
      <c r="BD27" t="s">
        <v>68</v>
      </c>
      <c r="BE27" s="1">
        <v>0.33680555555555558</v>
      </c>
      <c r="BF27" t="s">
        <v>71</v>
      </c>
      <c r="BG27" s="1">
        <v>0.13541666666666666</v>
      </c>
      <c r="BH27" t="s">
        <v>72</v>
      </c>
      <c r="BI27" t="s">
        <v>150</v>
      </c>
    </row>
    <row r="28" spans="1:61" s="4" customFormat="1" x14ac:dyDescent="0.2">
      <c r="A28" s="4" t="s">
        <v>176</v>
      </c>
      <c r="B28" s="4" t="s">
        <v>211</v>
      </c>
      <c r="C28" s="4">
        <v>12</v>
      </c>
      <c r="D28" s="4">
        <v>0.68</v>
      </c>
      <c r="E28" s="4">
        <v>1.93</v>
      </c>
      <c r="F28" s="4">
        <v>1.93</v>
      </c>
      <c r="G28" s="4">
        <f>SUM(D28*4,E28*3,F28*2)</f>
        <v>12.37</v>
      </c>
      <c r="I28" s="4" t="s">
        <v>212</v>
      </c>
      <c r="J28" t="s">
        <v>62</v>
      </c>
      <c r="K28" t="s">
        <v>63</v>
      </c>
      <c r="L28" s="4" t="s">
        <v>64</v>
      </c>
      <c r="M28" s="4" t="s">
        <v>101</v>
      </c>
      <c r="N28" s="4">
        <v>11106</v>
      </c>
      <c r="O28" s="4" t="s">
        <v>77</v>
      </c>
      <c r="P28" s="4" t="s">
        <v>67</v>
      </c>
      <c r="Q28" s="4" t="s">
        <v>67</v>
      </c>
      <c r="R28" s="4" t="s">
        <v>67</v>
      </c>
      <c r="S28" s="4" t="s">
        <v>68</v>
      </c>
      <c r="T28" s="4" t="s">
        <v>67</v>
      </c>
      <c r="U28" s="4">
        <v>30</v>
      </c>
      <c r="V28" s="4">
        <v>1</v>
      </c>
      <c r="W28" s="4">
        <v>3</v>
      </c>
      <c r="X28" s="4">
        <v>1</v>
      </c>
      <c r="Y28" s="4" t="s">
        <v>213</v>
      </c>
      <c r="Z28" s="4" t="s">
        <v>90</v>
      </c>
      <c r="AA28" s="4">
        <v>55</v>
      </c>
      <c r="AB28" s="4">
        <v>58</v>
      </c>
      <c r="AC28" s="4">
        <v>100</v>
      </c>
      <c r="AD28" s="4">
        <v>100</v>
      </c>
      <c r="AE28" s="4">
        <v>35</v>
      </c>
      <c r="AF28" s="4">
        <v>61</v>
      </c>
      <c r="AG28" s="4">
        <v>12</v>
      </c>
      <c r="AH28" s="4">
        <v>14</v>
      </c>
      <c r="AI28" s="4">
        <v>74</v>
      </c>
      <c r="AJ28" s="4">
        <v>5</v>
      </c>
      <c r="AK28" s="4">
        <v>5</v>
      </c>
      <c r="AL28" s="4">
        <v>5</v>
      </c>
      <c r="AM28" s="4">
        <v>5</v>
      </c>
      <c r="AN28" s="4">
        <v>5</v>
      </c>
      <c r="AO28" s="4">
        <v>5</v>
      </c>
      <c r="AP28" s="4">
        <v>30</v>
      </c>
      <c r="AQ28" s="4">
        <v>5</v>
      </c>
      <c r="AR28" s="4">
        <v>5</v>
      </c>
      <c r="AS28" s="4">
        <v>5</v>
      </c>
      <c r="AT28" s="4">
        <v>5</v>
      </c>
      <c r="AU28" s="4">
        <v>5</v>
      </c>
      <c r="AV28" s="4">
        <v>5</v>
      </c>
      <c r="AW28" s="4">
        <v>30</v>
      </c>
      <c r="AX28" s="4">
        <v>0</v>
      </c>
      <c r="AY28" s="4">
        <v>1</v>
      </c>
      <c r="AZ28" s="4" t="s">
        <v>68</v>
      </c>
      <c r="BA28" s="4">
        <v>0</v>
      </c>
      <c r="BB28" s="4">
        <v>2</v>
      </c>
      <c r="BC28" s="4" t="s">
        <v>110</v>
      </c>
      <c r="BD28" s="4" t="s">
        <v>68</v>
      </c>
      <c r="BE28" s="5">
        <v>0.32291666666666669</v>
      </c>
      <c r="BF28" s="4" t="s">
        <v>71</v>
      </c>
      <c r="BG28" s="5">
        <v>0.11458333333333333</v>
      </c>
      <c r="BH28" s="4" t="s">
        <v>72</v>
      </c>
      <c r="BI28" s="4" t="s">
        <v>214</v>
      </c>
    </row>
    <row r="29" spans="1:61" x14ac:dyDescent="0.2">
      <c r="A29" s="2" t="s">
        <v>59</v>
      </c>
      <c r="B29" s="2" t="s">
        <v>126</v>
      </c>
      <c r="C29" s="2">
        <v>11</v>
      </c>
      <c r="D29" s="2">
        <v>0.81</v>
      </c>
      <c r="E29" s="2">
        <v>1.81</v>
      </c>
      <c r="F29" s="2">
        <v>1.81</v>
      </c>
      <c r="G29">
        <f>SUM(D29*4,E29*3,F29*2)</f>
        <v>12.29</v>
      </c>
      <c r="H29" t="s">
        <v>236</v>
      </c>
      <c r="I29" s="2" t="s">
        <v>127</v>
      </c>
      <c r="J29" s="2" t="s">
        <v>62</v>
      </c>
      <c r="K29" s="2" t="s">
        <v>63</v>
      </c>
      <c r="L29" s="2" t="s">
        <v>64</v>
      </c>
      <c r="M29" s="2" t="s">
        <v>101</v>
      </c>
      <c r="N29" s="2">
        <v>7960</v>
      </c>
      <c r="O29" s="2" t="s">
        <v>77</v>
      </c>
      <c r="P29" s="2" t="s">
        <v>67</v>
      </c>
      <c r="Q29" s="2" t="s">
        <v>67</v>
      </c>
      <c r="R29" s="2" t="s">
        <v>67</v>
      </c>
      <c r="S29" s="2" t="s">
        <v>68</v>
      </c>
      <c r="T29" s="2" t="s">
        <v>67</v>
      </c>
      <c r="U29" s="2">
        <v>36</v>
      </c>
      <c r="V29" s="2">
        <v>2</v>
      </c>
      <c r="W29" s="2">
        <v>4</v>
      </c>
      <c r="X29" s="2">
        <v>2</v>
      </c>
      <c r="Y29" s="2" t="s">
        <v>128</v>
      </c>
      <c r="Z29" s="2"/>
      <c r="AA29" s="2">
        <v>67</v>
      </c>
      <c r="AB29" s="2">
        <v>74</v>
      </c>
      <c r="AC29" s="2">
        <v>88</v>
      </c>
      <c r="AD29" s="2">
        <v>100</v>
      </c>
      <c r="AE29" s="2">
        <v>45</v>
      </c>
      <c r="AF29" s="2">
        <v>59</v>
      </c>
      <c r="AG29" s="2">
        <v>24</v>
      </c>
      <c r="AH29" s="2">
        <v>16</v>
      </c>
      <c r="AI29" s="2">
        <v>60</v>
      </c>
      <c r="AJ29" s="2">
        <v>6</v>
      </c>
      <c r="AK29" s="2">
        <v>6</v>
      </c>
      <c r="AL29" s="2">
        <v>6</v>
      </c>
      <c r="AM29" s="2">
        <v>6</v>
      </c>
      <c r="AN29" s="2">
        <v>6</v>
      </c>
      <c r="AO29" s="2">
        <v>6</v>
      </c>
      <c r="AP29" s="2">
        <v>36</v>
      </c>
      <c r="AQ29" s="2">
        <v>6</v>
      </c>
      <c r="AR29" s="2">
        <v>6</v>
      </c>
      <c r="AS29" s="2">
        <v>6</v>
      </c>
      <c r="AT29" s="2">
        <v>6</v>
      </c>
      <c r="AU29" s="2">
        <v>6</v>
      </c>
      <c r="AV29" s="2">
        <v>6</v>
      </c>
      <c r="AW29" s="2">
        <v>36</v>
      </c>
      <c r="AX29" s="2">
        <v>1</v>
      </c>
      <c r="AY29" s="2">
        <v>1</v>
      </c>
      <c r="AZ29" s="2" t="s">
        <v>68</v>
      </c>
      <c r="BA29" s="2">
        <v>2</v>
      </c>
      <c r="BB29" s="2">
        <v>2</v>
      </c>
      <c r="BC29" s="2" t="s">
        <v>68</v>
      </c>
      <c r="BD29" s="2" t="s">
        <v>68</v>
      </c>
      <c r="BE29" s="3">
        <v>0.3298611111111111</v>
      </c>
      <c r="BF29" s="2" t="s">
        <v>71</v>
      </c>
      <c r="BG29" s="3">
        <v>0.12847222222222221</v>
      </c>
      <c r="BH29" s="2" t="s">
        <v>72</v>
      </c>
      <c r="BI29" s="2" t="s">
        <v>129</v>
      </c>
    </row>
    <row r="30" spans="1:61" x14ac:dyDescent="0.2">
      <c r="A30" t="s">
        <v>176</v>
      </c>
      <c r="B30" t="s">
        <v>226</v>
      </c>
      <c r="C30">
        <v>12</v>
      </c>
      <c r="D30">
        <v>0.77</v>
      </c>
      <c r="E30">
        <v>1.8</v>
      </c>
      <c r="F30">
        <v>1.83</v>
      </c>
      <c r="G30">
        <f>SUM(D30*4,E30*3,F30*2)</f>
        <v>12.14</v>
      </c>
      <c r="I30" t="s">
        <v>227</v>
      </c>
      <c r="J30" t="s">
        <v>87</v>
      </c>
      <c r="K30" t="s">
        <v>63</v>
      </c>
      <c r="L30" t="s">
        <v>64</v>
      </c>
      <c r="M30" t="s">
        <v>76</v>
      </c>
      <c r="N30">
        <v>5000</v>
      </c>
      <c r="O30" t="s">
        <v>77</v>
      </c>
      <c r="P30" t="s">
        <v>67</v>
      </c>
      <c r="Q30" t="s">
        <v>67</v>
      </c>
      <c r="R30" t="s">
        <v>228</v>
      </c>
      <c r="S30" t="s">
        <v>68</v>
      </c>
      <c r="T30" t="s">
        <v>67</v>
      </c>
      <c r="U30">
        <v>30</v>
      </c>
      <c r="V30">
        <v>1</v>
      </c>
      <c r="W30">
        <v>1</v>
      </c>
      <c r="X30">
        <v>1</v>
      </c>
      <c r="Y30" t="s">
        <v>229</v>
      </c>
      <c r="Z30" t="s">
        <v>154</v>
      </c>
      <c r="AA30">
        <v>53</v>
      </c>
      <c r="AB30">
        <v>55</v>
      </c>
      <c r="AC30">
        <v>100</v>
      </c>
      <c r="AD30">
        <v>98</v>
      </c>
      <c r="AE30">
        <v>42</v>
      </c>
      <c r="AF30">
        <v>58</v>
      </c>
      <c r="AG30">
        <v>2</v>
      </c>
      <c r="AH30">
        <v>29</v>
      </c>
      <c r="AI30">
        <v>69</v>
      </c>
      <c r="AJ30">
        <v>5</v>
      </c>
      <c r="AK30">
        <v>5</v>
      </c>
      <c r="AL30">
        <v>5</v>
      </c>
      <c r="AM30">
        <v>5</v>
      </c>
      <c r="AN30">
        <v>5</v>
      </c>
      <c r="AO30">
        <v>5</v>
      </c>
      <c r="AP30">
        <v>30</v>
      </c>
      <c r="AQ30">
        <v>5</v>
      </c>
      <c r="AR30">
        <v>5</v>
      </c>
      <c r="AS30">
        <v>5</v>
      </c>
      <c r="AT30">
        <v>5</v>
      </c>
      <c r="AU30">
        <v>5</v>
      </c>
      <c r="AV30">
        <v>5</v>
      </c>
      <c r="AW30">
        <v>30</v>
      </c>
      <c r="AX30">
        <v>1</v>
      </c>
      <c r="AY30">
        <v>1</v>
      </c>
      <c r="AZ30" t="s">
        <v>68</v>
      </c>
      <c r="BA30">
        <v>2</v>
      </c>
      <c r="BB30">
        <v>2</v>
      </c>
      <c r="BC30" t="s">
        <v>68</v>
      </c>
      <c r="BD30" t="s">
        <v>68</v>
      </c>
      <c r="BE30" s="1">
        <v>0.34375</v>
      </c>
      <c r="BF30" t="s">
        <v>71</v>
      </c>
      <c r="BG30" s="1">
        <v>0.13541666666666666</v>
      </c>
      <c r="BH30" t="s">
        <v>72</v>
      </c>
      <c r="BI30" t="s">
        <v>230</v>
      </c>
    </row>
    <row r="31" spans="1:61" x14ac:dyDescent="0.2">
      <c r="A31" t="s">
        <v>139</v>
      </c>
      <c r="B31" t="s">
        <v>140</v>
      </c>
      <c r="C31">
        <v>18</v>
      </c>
      <c r="D31">
        <v>0.62</v>
      </c>
      <c r="E31">
        <v>1.89</v>
      </c>
      <c r="F31">
        <v>1.89</v>
      </c>
      <c r="G31">
        <f>SUM(D31*4,E31*3,F31*2)</f>
        <v>11.93</v>
      </c>
      <c r="I31" t="s">
        <v>141</v>
      </c>
      <c r="J31" t="s">
        <v>62</v>
      </c>
      <c r="K31" t="s">
        <v>63</v>
      </c>
      <c r="L31" t="s">
        <v>64</v>
      </c>
      <c r="M31" t="s">
        <v>65</v>
      </c>
      <c r="N31">
        <v>6200</v>
      </c>
      <c r="O31" t="s">
        <v>77</v>
      </c>
      <c r="P31" t="s">
        <v>67</v>
      </c>
      <c r="Q31" t="s">
        <v>142</v>
      </c>
      <c r="R31" t="s">
        <v>67</v>
      </c>
      <c r="S31" t="s">
        <v>68</v>
      </c>
      <c r="T31" t="s">
        <v>67</v>
      </c>
      <c r="U31">
        <v>24</v>
      </c>
      <c r="V31">
        <v>1</v>
      </c>
      <c r="W31">
        <v>1</v>
      </c>
      <c r="X31">
        <v>1</v>
      </c>
      <c r="Y31" t="s">
        <v>143</v>
      </c>
      <c r="Z31" t="s">
        <v>144</v>
      </c>
      <c r="AA31">
        <v>39</v>
      </c>
      <c r="AB31">
        <v>39</v>
      </c>
      <c r="AC31">
        <v>87</v>
      </c>
      <c r="AD31">
        <v>100</v>
      </c>
      <c r="AE31">
        <v>33</v>
      </c>
      <c r="AF31">
        <v>61</v>
      </c>
      <c r="AG31">
        <v>15</v>
      </c>
      <c r="AH31">
        <v>15</v>
      </c>
      <c r="AI31">
        <v>70</v>
      </c>
      <c r="AJ31">
        <v>3</v>
      </c>
      <c r="AK31">
        <v>3</v>
      </c>
      <c r="AL31">
        <v>3</v>
      </c>
      <c r="AM31">
        <v>3</v>
      </c>
      <c r="AN31">
        <v>4</v>
      </c>
      <c r="AO31">
        <v>4</v>
      </c>
      <c r="AP31">
        <v>20</v>
      </c>
      <c r="AQ31">
        <v>2</v>
      </c>
      <c r="AR31">
        <v>3</v>
      </c>
      <c r="AS31">
        <v>3</v>
      </c>
      <c r="AT31">
        <v>3</v>
      </c>
      <c r="AU31">
        <v>3</v>
      </c>
      <c r="AV31">
        <v>4</v>
      </c>
      <c r="AW31">
        <v>18</v>
      </c>
      <c r="AX31">
        <v>0</v>
      </c>
      <c r="AY31">
        <v>2</v>
      </c>
      <c r="AZ31" t="s">
        <v>68</v>
      </c>
      <c r="BA31">
        <v>0</v>
      </c>
      <c r="BB31">
        <v>3</v>
      </c>
      <c r="BC31" t="s">
        <v>68</v>
      </c>
      <c r="BD31" t="s">
        <v>68</v>
      </c>
      <c r="BE31" s="1">
        <v>0.33333333333333331</v>
      </c>
      <c r="BF31" t="s">
        <v>71</v>
      </c>
      <c r="BG31" s="1">
        <v>0.1388888888888889</v>
      </c>
      <c r="BH31" t="s">
        <v>72</v>
      </c>
      <c r="BI31" t="s">
        <v>145</v>
      </c>
    </row>
    <row r="32" spans="1:61" s="2" customFormat="1" x14ac:dyDescent="0.2">
      <c r="A32" s="2" t="s">
        <v>176</v>
      </c>
      <c r="B32" s="2" t="s">
        <v>193</v>
      </c>
      <c r="C32" s="2">
        <v>12</v>
      </c>
      <c r="D32" s="2">
        <v>0.54</v>
      </c>
      <c r="E32" s="2">
        <v>1.88</v>
      </c>
      <c r="F32" s="2">
        <v>2</v>
      </c>
      <c r="G32" s="2">
        <f>SUM(D32*4,E32*3,F32*2)</f>
        <v>11.8</v>
      </c>
      <c r="H32" s="2" t="s">
        <v>236</v>
      </c>
      <c r="I32" s="2" t="s">
        <v>194</v>
      </c>
      <c r="J32" t="s">
        <v>62</v>
      </c>
      <c r="K32" t="s">
        <v>63</v>
      </c>
      <c r="L32" s="2" t="s">
        <v>94</v>
      </c>
      <c r="M32" s="2" t="s">
        <v>65</v>
      </c>
      <c r="N32" s="2">
        <v>22176</v>
      </c>
      <c r="O32" s="2" t="s">
        <v>77</v>
      </c>
      <c r="P32" s="2" t="s">
        <v>67</v>
      </c>
      <c r="Q32" s="2" t="s">
        <v>195</v>
      </c>
      <c r="R32" s="2" t="s">
        <v>67</v>
      </c>
      <c r="S32" s="2" t="s">
        <v>68</v>
      </c>
      <c r="T32" s="2" t="s">
        <v>67</v>
      </c>
      <c r="U32" s="2">
        <v>24</v>
      </c>
      <c r="V32" s="2">
        <v>1</v>
      </c>
      <c r="W32" s="2">
        <v>2</v>
      </c>
      <c r="X32" s="2">
        <v>1</v>
      </c>
      <c r="Y32" s="2" t="s">
        <v>196</v>
      </c>
      <c r="Z32" s="2" t="s">
        <v>154</v>
      </c>
      <c r="AA32" s="2">
        <v>48</v>
      </c>
      <c r="AB32" s="2">
        <v>48</v>
      </c>
      <c r="AC32" s="2">
        <v>100</v>
      </c>
      <c r="AD32" s="2">
        <v>94</v>
      </c>
      <c r="AE32" s="2">
        <v>27</v>
      </c>
      <c r="AF32" s="2">
        <v>57</v>
      </c>
      <c r="AG32" s="2">
        <v>19</v>
      </c>
      <c r="AH32" s="2">
        <v>27</v>
      </c>
      <c r="AI32" s="2">
        <v>54</v>
      </c>
      <c r="AJ32" s="2">
        <v>4</v>
      </c>
      <c r="AK32" s="2">
        <v>4</v>
      </c>
      <c r="AL32" s="2">
        <v>4</v>
      </c>
      <c r="AM32" s="2">
        <v>4</v>
      </c>
      <c r="AN32" s="2">
        <v>4</v>
      </c>
      <c r="AO32" s="2">
        <v>4</v>
      </c>
      <c r="AP32" s="2">
        <v>24</v>
      </c>
      <c r="AQ32" s="2">
        <v>4</v>
      </c>
      <c r="AR32" s="2">
        <v>4</v>
      </c>
      <c r="AS32" s="2">
        <v>4</v>
      </c>
      <c r="AT32" s="2">
        <v>4</v>
      </c>
      <c r="AU32" s="2">
        <v>4</v>
      </c>
      <c r="AV32" s="2">
        <v>4</v>
      </c>
      <c r="AW32" s="2">
        <v>24</v>
      </c>
      <c r="AX32" s="2">
        <v>0</v>
      </c>
      <c r="AY32" s="2">
        <v>2</v>
      </c>
      <c r="AZ32" s="2" t="s">
        <v>68</v>
      </c>
      <c r="BA32" s="2">
        <v>0</v>
      </c>
      <c r="BB32" s="2">
        <v>3</v>
      </c>
      <c r="BC32" s="2" t="s">
        <v>110</v>
      </c>
      <c r="BD32" s="2" t="s">
        <v>110</v>
      </c>
      <c r="BE32" s="3">
        <v>0.34027777777777779</v>
      </c>
      <c r="BF32" s="2" t="s">
        <v>71</v>
      </c>
      <c r="BG32" s="3">
        <v>0.13194444444444445</v>
      </c>
      <c r="BH32" s="2" t="s">
        <v>72</v>
      </c>
      <c r="BI32" s="2" t="s">
        <v>197</v>
      </c>
    </row>
    <row r="33" spans="1:61" s="2" customFormat="1" x14ac:dyDescent="0.2">
      <c r="A33" t="s">
        <v>176</v>
      </c>
      <c r="B33" t="s">
        <v>221</v>
      </c>
      <c r="C33">
        <v>12</v>
      </c>
      <c r="D33">
        <v>0.83</v>
      </c>
      <c r="E33">
        <v>1.06</v>
      </c>
      <c r="F33">
        <v>1.93</v>
      </c>
      <c r="G33">
        <f>SUM(D33*4,E33*3,F33*2)</f>
        <v>10.36</v>
      </c>
      <c r="H33"/>
      <c r="I33" t="s">
        <v>222</v>
      </c>
      <c r="J33" t="s">
        <v>87</v>
      </c>
      <c r="K33" t="s">
        <v>63</v>
      </c>
      <c r="L33" t="s">
        <v>64</v>
      </c>
      <c r="M33" t="s">
        <v>76</v>
      </c>
      <c r="N33">
        <v>4000</v>
      </c>
      <c r="O33" t="s">
        <v>77</v>
      </c>
      <c r="P33" t="s">
        <v>67</v>
      </c>
      <c r="Q33" t="s">
        <v>67</v>
      </c>
      <c r="R33" t="s">
        <v>223</v>
      </c>
      <c r="S33" t="s">
        <v>68</v>
      </c>
      <c r="T33" t="s">
        <v>67</v>
      </c>
      <c r="U33">
        <v>30</v>
      </c>
      <c r="V33">
        <v>1</v>
      </c>
      <c r="W33">
        <v>1</v>
      </c>
      <c r="X33">
        <v>1</v>
      </c>
      <c r="Y33" t="s">
        <v>224</v>
      </c>
      <c r="Z33" t="s">
        <v>154</v>
      </c>
      <c r="AA33">
        <v>54</v>
      </c>
      <c r="AB33">
        <v>58</v>
      </c>
      <c r="AC33">
        <v>100</v>
      </c>
      <c r="AD33">
        <v>55</v>
      </c>
      <c r="AE33">
        <v>43</v>
      </c>
      <c r="AF33">
        <v>76</v>
      </c>
      <c r="AG33">
        <v>11</v>
      </c>
      <c r="AH33">
        <v>12</v>
      </c>
      <c r="AI33">
        <v>77</v>
      </c>
      <c r="AJ33">
        <v>5</v>
      </c>
      <c r="AK33">
        <v>5</v>
      </c>
      <c r="AL33">
        <v>5</v>
      </c>
      <c r="AM33">
        <v>5</v>
      </c>
      <c r="AN33">
        <v>5</v>
      </c>
      <c r="AO33">
        <v>5</v>
      </c>
      <c r="AP33">
        <v>30</v>
      </c>
      <c r="AQ33">
        <v>5</v>
      </c>
      <c r="AR33">
        <v>5</v>
      </c>
      <c r="AS33">
        <v>5</v>
      </c>
      <c r="AT33">
        <v>5</v>
      </c>
      <c r="AU33">
        <v>5</v>
      </c>
      <c r="AV33">
        <v>5</v>
      </c>
      <c r="AW33">
        <v>30</v>
      </c>
      <c r="AX33">
        <v>0</v>
      </c>
      <c r="AY33">
        <v>1</v>
      </c>
      <c r="AZ33" t="s">
        <v>68</v>
      </c>
      <c r="BA33">
        <v>0</v>
      </c>
      <c r="BB33">
        <v>3</v>
      </c>
      <c r="BC33" t="s">
        <v>68</v>
      </c>
      <c r="BD33" t="s">
        <v>68</v>
      </c>
      <c r="BE33" s="1">
        <v>0.3298611111111111</v>
      </c>
      <c r="BF33" t="s">
        <v>71</v>
      </c>
      <c r="BG33" s="1">
        <v>0.12152777777777778</v>
      </c>
      <c r="BH33" t="s">
        <v>72</v>
      </c>
      <c r="BI33" t="s">
        <v>225</v>
      </c>
    </row>
  </sheetData>
  <autoFilter ref="A1:BI33" xr:uid="{58784080-653A-A348-A2B8-59E32FD64152}">
    <filterColumn colId="12">
      <filters>
        <filter val="Catholicism"/>
        <filter val="Not Applicable"/>
        <filter val="Protestantism / Christianity"/>
      </filters>
    </filterColumn>
    <sortState xmlns:xlrd2="http://schemas.microsoft.com/office/spreadsheetml/2017/richdata2" ref="A2:BI33">
      <sortCondition descending="1" ref="G1:G33"/>
    </sortState>
  </autoFilter>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filtered_public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Tyrone Chan</dc:creator>
  <cp:lastModifiedBy>Tyrone Chan</cp:lastModifiedBy>
  <dcterms:created xsi:type="dcterms:W3CDTF">2026-03-08T02:20:29Z</dcterms:created>
  <dcterms:modified xsi:type="dcterms:W3CDTF">2026-03-08T02:20:29Z</dcterms:modified>
</cp:coreProperties>
</file>